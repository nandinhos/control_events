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Planilha1!$A$2:$O$234</definedName>
  </definedNames>
  <calcPr/>
  <extLst>
    <ext uri="GoogleSheetsCustomDataVersion2">
      <go:sheetsCustomData xmlns:go="http://customooxmlschemas.google.com/" r:id="rId5" roundtripDataChecksum="lizyasEEbb8slCAhT0tyBHVh9kxA004HTBDAwR+8p8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0">
      <text>
        <t xml:space="preserve">50% da comissão pro Edo
======</t>
      </text>
    </comment>
    <comment authorId="0" ref="G81">
      <text>
        <t xml:space="preserve">50% da comissão pro Edo
======</t>
      </text>
    </comment>
    <comment authorId="0" ref="J98">
      <text>
        <t xml:space="preserve">https://docs.google.com/spreadsheets/d/11zldQ3uPlWUIBbg6npwk_xL4p_spP94FhEoIUtd2zWE/edit?usp=sharing
======</t>
      </text>
    </comment>
    <comment authorId="0" ref="J110">
      <text>
        <t xml:space="preserve">https://docs.google.com/spreadsheets/d/11zldQ3uPlWUIBbg6npwk_xL4p_spP94FhEoIUtd2zWE/edit?usp=sharing
======</t>
      </text>
    </comment>
    <comment authorId="0" ref="G117">
      <text>
        <t xml:space="preserve">CHAPA &amp; CASTELO
09/01 @ Milk
comissão: R$ 1.650,00
custos: R$ 2.000,00 (visto) + R$ 1.400,00 (alimentação) + R$ 550,00 tm
09/01 P12:
comissão: R$ 1.650,00
custos:  R$ 1.400,00 (alimentação) + R$ 550,00 tm
14/01 Our Roots:
comissão: R$ 1.100,00
custos: 1.400,00 (alimentação) + R$ 550,00 tm
ADAM SELLOUK
09/01 P12: 
comissão: R$ 7.700,00
custos: R$ 1.600,00 (visto) + R$ 1.450,00 (alimentação) + R$ 550,00 (tm)
19:26
09/01 P12:
comissão: R$ 3.300,00
custos: R$ 1.600,00 (visto) + R$ 650,00 (alimentação) + R$ 550,00 (tm)
======</t>
      </text>
    </comment>
    <comment authorId="0" ref="G118">
      <text>
        <t xml:space="preserve">CHAPA &amp; CASTELO
09/01 @ Milk
comissão: R$ 1.650,00
custos: R$ 2.000,00 (visto) + R$ 1.400,00 (alimentação) + R$ 550,00 tm
09/01 P12:
comissão: R$ 1.650,00
custos:  R$ 1.400,00 (alimentação) + R$ 550,00 tm
14/01 Our Roots:
comissão: R$ 1.100,00
custos: 1.400,00 (alimentação) + R$ 550,00 tm
ADAM SELLOUK
09/01 P12: 
comissão: R$ 7.700,00
custos: R$ 1.600,00 (visto) + R$ 1.450,00 (alimentação) + R$ 550,00 (tm)
19:26
09/01 P12:
comissão: R$ 3.300,00
custos: R$ 1.600,00 (visto) + R$ 650,00 (alimentação) + R$ 550,00 (tm)
======</t>
      </text>
    </comment>
  </commentList>
</comments>
</file>

<file path=xl/sharedStrings.xml><?xml version="1.0" encoding="utf-8"?>
<sst xmlns="http://schemas.openxmlformats.org/spreadsheetml/2006/main" count="1634" uniqueCount="352">
  <si>
    <t>TOTAL</t>
  </si>
  <si>
    <t>Conta / Artista</t>
  </si>
  <si>
    <t>DATA EVENTO</t>
  </si>
  <si>
    <t>MÊS REF.</t>
  </si>
  <si>
    <t>EVENTO</t>
  </si>
  <si>
    <t>TIPO</t>
  </si>
  <si>
    <t>DATA (OP.)</t>
  </si>
  <si>
    <t>VALOR (BRL)</t>
  </si>
  <si>
    <t>VALOR (USD)</t>
  </si>
  <si>
    <t>VALOR (EUR)</t>
  </si>
  <si>
    <t>CONTRA-PARTE</t>
  </si>
  <si>
    <t>CNPJ/VAT</t>
  </si>
  <si>
    <t>DESCRIÇÃO</t>
  </si>
  <si>
    <t>Ctr Ref.</t>
  </si>
  <si>
    <t>Cashflow</t>
  </si>
  <si>
    <t>Cashflow2</t>
  </si>
  <si>
    <t>Shimza</t>
  </si>
  <si>
    <t>ABRIL</t>
  </si>
  <si>
    <t>THE CHINESE LAUNDRY</t>
  </si>
  <si>
    <t>IMP-EXP</t>
  </si>
  <si>
    <t>ALVIDA GLOBAL</t>
  </si>
  <si>
    <t>MZK/C26-000001</t>
  </si>
  <si>
    <t>Adam Sellouk</t>
  </si>
  <si>
    <t>SAVAGE</t>
  </si>
  <si>
    <t>IMPORT</t>
  </si>
  <si>
    <t>BGG PRODUCOES DE EVENTOS LTDA.</t>
  </si>
  <si>
    <t>58.918.621/0001-39</t>
  </si>
  <si>
    <t>Alimentação</t>
  </si>
  <si>
    <t>PAN/C26-000292</t>
  </si>
  <si>
    <t>Vistos</t>
  </si>
  <si>
    <t>Cachê</t>
  </si>
  <si>
    <t>Gabriel Swami</t>
  </si>
  <si>
    <t>Cachê TM</t>
  </si>
  <si>
    <t>Reembolso TM</t>
  </si>
  <si>
    <t>Nattacci Lucci</t>
  </si>
  <si>
    <t>Work Permit</t>
  </si>
  <si>
    <t>Itau Unibanco SA</t>
  </si>
  <si>
    <t>Tarifa Contrato Cambrio + IOF</t>
  </si>
  <si>
    <t>artista</t>
  </si>
  <si>
    <t>Wise</t>
  </si>
  <si>
    <t>artista - via Wise USD 104</t>
  </si>
  <si>
    <t>Klauss</t>
  </si>
  <si>
    <t>Almoço dia 09.04 Klauss, Adam Sellouk, Ulisses e Gabriel.</t>
  </si>
  <si>
    <t>FESTA STARLIGHT</t>
  </si>
  <si>
    <t>EXPORT</t>
  </si>
  <si>
    <t>Versat Entretenimento Ltda</t>
  </si>
  <si>
    <t>Custos</t>
  </si>
  <si>
    <t>PAN/C26-000181</t>
  </si>
  <si>
    <t>APICE ENTRETENIMENTO</t>
  </si>
  <si>
    <t>Comissão</t>
  </si>
  <si>
    <t>Rafael Cerato</t>
  </si>
  <si>
    <t>EPHIGENIA</t>
  </si>
  <si>
    <t>TERRAÇO EPHIGENIA LTDA</t>
  </si>
  <si>
    <t>Comissão e Alimentação</t>
  </si>
  <si>
    <t>PAN/C26-000283</t>
  </si>
  <si>
    <t>Guilherme Ulisses</t>
  </si>
  <si>
    <t>PENDENTE</t>
  </si>
  <si>
    <t>Melhor Cambio</t>
  </si>
  <si>
    <t>Repasse Cachê (USD 2800) - custos log</t>
  </si>
  <si>
    <t>Travel Home</t>
  </si>
  <si>
    <t>Hospedagem</t>
  </si>
  <si>
    <t>AGNALDO FERREIRA DE MATTOS JUNIOR</t>
  </si>
  <si>
    <t>Transfer</t>
  </si>
  <si>
    <t>Reembolso Voos</t>
  </si>
  <si>
    <t>3k adiantamento</t>
  </si>
  <si>
    <t>OCTAVA CLUB</t>
  </si>
  <si>
    <t>??</t>
  </si>
  <si>
    <t>USD 400.00</t>
  </si>
  <si>
    <t>Comissão Agência (ainda nao recebido)</t>
  </si>
  <si>
    <t>PAN/C26-000217</t>
  </si>
  <si>
    <t>SALON AMADOR</t>
  </si>
  <si>
    <t>CAOS</t>
  </si>
  <si>
    <t xml:space="preserve">WH2995 EVENTOS LTDA </t>
  </si>
  <si>
    <t>029.223.965/0001-25</t>
  </si>
  <si>
    <t>Buyout Hotel</t>
  </si>
  <si>
    <t>Custos + Alimentação</t>
  </si>
  <si>
    <t>Buyout Hotel (Entregar em maos)</t>
  </si>
  <si>
    <t>Curol</t>
  </si>
  <si>
    <t>MANDALA</t>
  </si>
  <si>
    <t>Gabriel Andrés Fernández Herrera</t>
  </si>
  <si>
    <t>Parte Cachê</t>
  </si>
  <si>
    <t>PAN/C26-000307</t>
  </si>
  <si>
    <t>Tarifa Contrato Cambrio</t>
  </si>
  <si>
    <t>Repasse Alimentação</t>
  </si>
  <si>
    <t>Repasse artista</t>
  </si>
  <si>
    <t>Check Mate</t>
  </si>
  <si>
    <t>Custos de Voo</t>
  </si>
  <si>
    <t>MARKUS SCHULZ</t>
  </si>
  <si>
    <t>AME CLUB</t>
  </si>
  <si>
    <t>Alimentação + vistos</t>
  </si>
  <si>
    <t>PAN/C26-000380</t>
  </si>
  <si>
    <t>comissão</t>
  </si>
  <si>
    <t>Reembolso Uber</t>
  </si>
  <si>
    <t>The Drop Times Company Ltda</t>
  </si>
  <si>
    <t>Entrevista + Captação + Edição - Flosi</t>
  </si>
  <si>
    <t>Wesley Figueiredo Rodrigues</t>
  </si>
  <si>
    <t>076.250.349-17</t>
  </si>
  <si>
    <t xml:space="preserve">Custos Camiseta BR Perosnalizada </t>
  </si>
  <si>
    <t>RUBACK</t>
  </si>
  <si>
    <t>Pabellon Brasil (Expocruz)</t>
  </si>
  <si>
    <t>PAN/C26-000233</t>
  </si>
  <si>
    <t>Rusch Eventos Ltda</t>
  </si>
  <si>
    <t>35.751.179/0001-01</t>
  </si>
  <si>
    <t>Repasse Artista</t>
  </si>
  <si>
    <t>Ruback</t>
  </si>
  <si>
    <t>FEVEREIRO</t>
  </si>
  <si>
    <t>GREENVELVET SA</t>
  </si>
  <si>
    <t>CUIT 30717351394</t>
  </si>
  <si>
    <t>Cachê + Alimentação</t>
  </si>
  <si>
    <t>PAN/C25-000255</t>
  </si>
  <si>
    <t>Levi</t>
  </si>
  <si>
    <t>BALBURDIA</t>
  </si>
  <si>
    <t>PAN/C26-000081</t>
  </si>
  <si>
    <t>300 BEACH CLUB</t>
  </si>
  <si>
    <t>MT2SC GASTRONOMIA INTERNACIONA</t>
  </si>
  <si>
    <t>21.302.926/0001-01</t>
  </si>
  <si>
    <t>Comissão + Custos</t>
  </si>
  <si>
    <t>PAN/C26-000078</t>
  </si>
  <si>
    <t>BRAVA BEACH CLUB</t>
  </si>
  <si>
    <t>??????</t>
  </si>
  <si>
    <t>UTA</t>
  </si>
  <si>
    <t>Envio Cachê Artistico</t>
  </si>
  <si>
    <t>PAN/C26-000088</t>
  </si>
  <si>
    <t>Parte Cachê + Parte Custos + Comissão</t>
  </si>
  <si>
    <t>Steve Angello</t>
  </si>
  <si>
    <t>MIRADA/MAORI</t>
  </si>
  <si>
    <t>Mirada produtora de eventos ltda</t>
  </si>
  <si>
    <t>35.691.128/0001-23</t>
  </si>
  <si>
    <t>Alimentação Artista + Equipe</t>
  </si>
  <si>
    <t>PAN/C26-000097</t>
  </si>
  <si>
    <t>Custos Op / Visto / TM</t>
  </si>
  <si>
    <t>Parte Comissão</t>
  </si>
  <si>
    <t>Marcos Aurelio Slongo</t>
  </si>
  <si>
    <t>Natacci Lucci</t>
  </si>
  <si>
    <t>Klauss Goulart</t>
  </si>
  <si>
    <t>Reembolso Jantar com Artista</t>
  </si>
  <si>
    <t>Agents of Time</t>
  </si>
  <si>
    <t>AMELAROC FESTIVAL</t>
  </si>
  <si>
    <t>LA ROC CLUB LTDA</t>
  </si>
  <si>
    <t>23.278.325/0001-36</t>
  </si>
  <si>
    <t>PAN/C26-000100</t>
  </si>
  <si>
    <t>P12</t>
  </si>
  <si>
    <t>NOVO BRASIL ENTRETENIMENTO LTDA</t>
  </si>
  <si>
    <t>02.006.611/0001-72</t>
  </si>
  <si>
    <t>PAN/C26-000096</t>
  </si>
  <si>
    <t>LEVI</t>
  </si>
  <si>
    <t>OITO ATLANTIDA</t>
  </si>
  <si>
    <t>USD 5.750,00</t>
  </si>
  <si>
    <t>PAN/C26-000243</t>
  </si>
  <si>
    <t>N/A</t>
  </si>
  <si>
    <t>STEVE ANGELLO</t>
  </si>
  <si>
    <t>AME LAROC FESTIVAL</t>
  </si>
  <si>
    <t>USD$ 60.000,00</t>
  </si>
  <si>
    <t>PAN/C26-000098</t>
  </si>
  <si>
    <t>R$ 16.500,00 / TEM BV</t>
  </si>
  <si>
    <t>CUROL</t>
  </si>
  <si>
    <t>CORE</t>
  </si>
  <si>
    <t>USD 1,500.00</t>
  </si>
  <si>
    <t>PAN/C25-000244</t>
  </si>
  <si>
    <t>ANDHIM</t>
  </si>
  <si>
    <t>PIKNIC ELECTRONIK</t>
  </si>
  <si>
    <t>USD 11,000.00</t>
  </si>
  <si>
    <t>PAN/C26-000240</t>
  </si>
  <si>
    <t>RAFAEL CERATO</t>
  </si>
  <si>
    <t>COMPLOT IN THE PARK</t>
  </si>
  <si>
    <t>EXP-IMP</t>
  </si>
  <si>
    <t>USD 4,000.00</t>
  </si>
  <si>
    <t>MZK/C26-000002</t>
  </si>
  <si>
    <t>VICTORIA ENGEL</t>
  </si>
  <si>
    <t>PAN/C26-000090</t>
  </si>
  <si>
    <t>TETRIKA</t>
  </si>
  <si>
    <t>USD 1,000.00</t>
  </si>
  <si>
    <t>HERNAN CATTANEO</t>
  </si>
  <si>
    <t>HERNAN CATTANEO - FOZ DO IGUAÇU</t>
  </si>
  <si>
    <t>USD 50,000.00</t>
  </si>
  <si>
    <t>PAN/C25-000073</t>
  </si>
  <si>
    <t>R$ 41.250,00</t>
  </si>
  <si>
    <t>13/02/2026 e 20/02/2026</t>
  </si>
  <si>
    <t>BALBURDIA + MAG THE PARTY</t>
  </si>
  <si>
    <t>Agência Levels Serviços de Publicidade e Propaganda</t>
  </si>
  <si>
    <t>30.720.738/0001-94</t>
  </si>
  <si>
    <t>Comissão + Custos (2 datas)</t>
  </si>
  <si>
    <t>PAN/C26-000081 e PAN/C26-000089</t>
  </si>
  <si>
    <t>BALBURDIA + MAG THE PARTY + 300 BEACH CLUB</t>
  </si>
  <si>
    <t>CLAUDIO GUISE GOMES DE MATTOS</t>
  </si>
  <si>
    <t>60.169.776/0001-61</t>
  </si>
  <si>
    <t>Comissão Claudio Tour Levi (3 datas)</t>
  </si>
  <si>
    <t>PAN/C26-000081 + PAN/C26-000089 e PAN/C26-000078</t>
  </si>
  <si>
    <t>14/02/2026 e 16/02/2026</t>
  </si>
  <si>
    <t>CLUB 415 + P12 + AMELAROC</t>
  </si>
  <si>
    <t>PAN/C26-000095 + PAN/C26-000096 + PAN/C26-000100</t>
  </si>
  <si>
    <t>RT DA SILVA PROD ART</t>
  </si>
  <si>
    <t>Cachê TM + Reembolsos</t>
  </si>
  <si>
    <t>Chapa &amp; Castelo</t>
  </si>
  <si>
    <t>JANEIRO</t>
  </si>
  <si>
    <t>JOGO BONITO</t>
  </si>
  <si>
    <t>ACUÑA Y ASOC. SA</t>
  </si>
  <si>
    <t>30-71163837-3</t>
  </si>
  <si>
    <t>Entrada Cachê</t>
  </si>
  <si>
    <t>PAN/C25-000221</t>
  </si>
  <si>
    <t>Entrada Cachê + Comissão</t>
  </si>
  <si>
    <t>Entrada Comissão</t>
  </si>
  <si>
    <t>Repasse Cachê</t>
  </si>
  <si>
    <t>TRAVEL HOME</t>
  </si>
  <si>
    <t>Voos Tour Chapa &amp; Castelo (Colocado)</t>
  </si>
  <si>
    <t>PAN/C25-000221 + PAN/C25-000178 + PAN/C26-000239</t>
  </si>
  <si>
    <t>PAR TRANSPORTE E TURISMO LTDA</t>
  </si>
  <si>
    <t>30.639.575/0001-10</t>
  </si>
  <si>
    <t>Transfers Buzios (Colocado)</t>
  </si>
  <si>
    <t xml:space="preserve">Felipe Cavalcanti </t>
  </si>
  <si>
    <t>Cachê Tour Manager + Alimentação TM</t>
  </si>
  <si>
    <t>Alimentação Artistas</t>
  </si>
  <si>
    <t>P12 Meet Day</t>
  </si>
  <si>
    <t>PAN/C26-000238</t>
  </si>
  <si>
    <t>Tour Manager</t>
  </si>
  <si>
    <t>Alimentação Artistas + Equipe</t>
  </si>
  <si>
    <t>PAN/C25-000193</t>
  </si>
  <si>
    <t>PAN/C25-000178</t>
  </si>
  <si>
    <t>Rodrigo França</t>
  </si>
  <si>
    <t>Cachê Tour Manager</t>
  </si>
  <si>
    <t>24.224.690/0001-20</t>
  </si>
  <si>
    <t>Transfer SP (custo pessoal)</t>
  </si>
  <si>
    <t>Victoria Engel</t>
  </si>
  <si>
    <t>INFNTY FESTIVAL</t>
  </si>
  <si>
    <t>Desp Entretenimento Ltda</t>
  </si>
  <si>
    <t>32.495.734/0001-85</t>
  </si>
  <si>
    <t>Verba de Custos Op / Alimentacao / Work permit</t>
  </si>
  <si>
    <t>PAN/C26-000237</t>
  </si>
  <si>
    <t xml:space="preserve">Comissão </t>
  </si>
  <si>
    <t xml:space="preserve"> Our Roots</t>
  </si>
  <si>
    <t>MARIANO TURISMO E SERVICOS LTDA</t>
  </si>
  <si>
    <t>Cachê e Comissão</t>
  </si>
  <si>
    <t>PAN/C26-000239</t>
  </si>
  <si>
    <t>Chapa &amp; Castelo + Adam Sellouk + 19:26</t>
  </si>
  <si>
    <t>09/01/2026 + 14/01/2026</t>
  </si>
  <si>
    <t>P12 + Milk + Our Roots</t>
  </si>
  <si>
    <t>Comissão e Custos Op Summer P12 + Milk + Our Roots</t>
  </si>
  <si>
    <t>PAN/C25-000178 + PAN/C26-000238 + PAN/C25-000193</t>
  </si>
  <si>
    <t>Hernan Cattaneo</t>
  </si>
  <si>
    <t>23/01/2026 + 24/01/2026</t>
  </si>
  <si>
    <t>P2 Comissao + Verba de Custos / Alimentação / Work permit</t>
  </si>
  <si>
    <t>PAN/C25-000068</t>
  </si>
  <si>
    <t xml:space="preserve">P1 Comissao </t>
  </si>
  <si>
    <t>OMNIMUSIC SHOWS E EVENTOS LTDA</t>
  </si>
  <si>
    <t>47.609.074/0001-93</t>
  </si>
  <si>
    <t>Liana Sayuri</t>
  </si>
  <si>
    <t>259.650.818-47</t>
  </si>
  <si>
    <t>Reembolsos TM</t>
  </si>
  <si>
    <t>Repasse Alimentação Artista</t>
  </si>
  <si>
    <t>CAROL FAVERO</t>
  </si>
  <si>
    <t>MAIO</t>
  </si>
  <si>
    <t>CASA DO LIVRO</t>
  </si>
  <si>
    <t>PAN/C26-000352</t>
  </si>
  <si>
    <t>Bilhete de Trem (Custo Logística)</t>
  </si>
  <si>
    <t>Braslive Entretenimento - Agenciamento De Servicos Artisticos</t>
  </si>
  <si>
    <t>26.228.575/0001-50</t>
  </si>
  <si>
    <t>Repasse Artista (20%)</t>
  </si>
  <si>
    <t>MISS NATALIA</t>
  </si>
  <si>
    <t>595 LOUNGE</t>
  </si>
  <si>
    <t>R$ 6.000,00</t>
  </si>
  <si>
    <t>Cachê + Comissão + Alimentação</t>
  </si>
  <si>
    <t>S/ contrato</t>
  </si>
  <si>
    <t>BIGFETT</t>
  </si>
  <si>
    <t>ANEXX</t>
  </si>
  <si>
    <t>USD 300.00</t>
  </si>
  <si>
    <t>Comissão Agência</t>
  </si>
  <si>
    <t>PAN/C26-000168</t>
  </si>
  <si>
    <t>XLIVE DELHI (MOCHAK AFTER PARTY)</t>
  </si>
  <si>
    <t>BINARYH</t>
  </si>
  <si>
    <t>EL MUELLE</t>
  </si>
  <si>
    <t>LIGNEE CLUB</t>
  </si>
  <si>
    <t>PAN/C26-000314</t>
  </si>
  <si>
    <t>CAIO GRACIOLLI SOCIEDADE INDIVIDUAL DE ADVOCACIA</t>
  </si>
  <si>
    <t>47.780.702/0001-07</t>
  </si>
  <si>
    <t>Visto</t>
  </si>
  <si>
    <t>Rt da Silva Producoes Artisticas Ltda</t>
  </si>
  <si>
    <t>12.698.870/0001-65</t>
  </si>
  <si>
    <t>272.669.358-06</t>
  </si>
  <si>
    <t>55.059.720/0001-14</t>
  </si>
  <si>
    <t>Entrevista Flosi</t>
  </si>
  <si>
    <t>MIRAGE</t>
  </si>
  <si>
    <t>BELMAROSE MUMBAI</t>
  </si>
  <si>
    <t>PAN POT</t>
  </si>
  <si>
    <t>PAN/C26-000420</t>
  </si>
  <si>
    <t>Hotel Buyout</t>
  </si>
  <si>
    <t>Verba Alimentação</t>
  </si>
  <si>
    <t>Alimentação TM</t>
  </si>
  <si>
    <t>Custos de Hotel (Colocado)</t>
  </si>
  <si>
    <t>ADAM SELLOUK</t>
  </si>
  <si>
    <t>SÓ TRACK BOA</t>
  </si>
  <si>
    <t>?????????</t>
  </si>
  <si>
    <t>JUNHO</t>
  </si>
  <si>
    <t>TBD</t>
  </si>
  <si>
    <t>Sem contrato</t>
  </si>
  <si>
    <t>MARÇO</t>
  </si>
  <si>
    <t>PHAGWA FESTIVAL</t>
  </si>
  <si>
    <t>Lustig Events N.V.</t>
  </si>
  <si>
    <t>PAN/C26-000113</t>
  </si>
  <si>
    <t>Makus Schulz</t>
  </si>
  <si>
    <t>D-EDGE</t>
  </si>
  <si>
    <t>Rpg &amp; Bar Dancante Ltda</t>
  </si>
  <si>
    <t>Custos + Reembolso Visto</t>
  </si>
  <si>
    <t>PAN/C26-000105</t>
  </si>
  <si>
    <t>Custo Visto / Reembolso</t>
  </si>
  <si>
    <t>OCTAVA CLUB SAS</t>
  </si>
  <si>
    <t>PAN/C26-000241</t>
  </si>
  <si>
    <t>TRIIIPLE FESTIVAL</t>
  </si>
  <si>
    <t>PAN/C26-000117</t>
  </si>
  <si>
    <t>LAROC CLUB LTDA - EPP</t>
  </si>
  <si>
    <t>Comissão e Custos</t>
  </si>
  <si>
    <t>JOKESONYOU</t>
  </si>
  <si>
    <t>PAN/C26-000172</t>
  </si>
  <si>
    <t>Caroline Duarte</t>
  </si>
  <si>
    <t>Reembolso Visto</t>
  </si>
  <si>
    <t>RAINBOW CAFÉ</t>
  </si>
  <si>
    <t>PAN/C26-000106</t>
  </si>
  <si>
    <t>CUVEE</t>
  </si>
  <si>
    <t>Cachê + Comissão Agência</t>
  </si>
  <si>
    <t>LA JUANITA</t>
  </si>
  <si>
    <t>KREAM</t>
  </si>
  <si>
    <t>ERRORR SP</t>
  </si>
  <si>
    <t>FILT</t>
  </si>
  <si>
    <t>PAN/C26-000412</t>
  </si>
  <si>
    <t>PAN/C26-000406</t>
  </si>
  <si>
    <t>Verba Custos</t>
  </si>
  <si>
    <t>Custo Visto</t>
  </si>
  <si>
    <t>TBC</t>
  </si>
  <si>
    <t>PAN/C26-000421</t>
  </si>
  <si>
    <t>DUBDOGZ</t>
  </si>
  <si>
    <t>AGOSTO</t>
  </si>
  <si>
    <t>TARJA PRETA</t>
  </si>
  <si>
    <t>US</t>
  </si>
  <si>
    <t>AGENTS OF TIME</t>
  </si>
  <si>
    <t>AME</t>
  </si>
  <si>
    <t>SETEMBRO</t>
  </si>
  <si>
    <t>SILK CLUB</t>
  </si>
  <si>
    <t>Danzeria x Key Producciones</t>
  </si>
  <si>
    <t>kp servicos digitais ltda</t>
  </si>
  <si>
    <t>Via Condortunes</t>
  </si>
  <si>
    <t>ROCK IN RIO</t>
  </si>
  <si>
    <t>SUNSETSTRIP</t>
  </si>
  <si>
    <t>KIKO FRANCO</t>
  </si>
  <si>
    <t>OUTUBRO</t>
  </si>
  <si>
    <t>BONETTI-LLENAS WEDDING (PRIVATE)</t>
  </si>
  <si>
    <t>não consta no s1</t>
  </si>
  <si>
    <t>KVSH</t>
  </si>
  <si>
    <t>NOVEMBRO</t>
  </si>
  <si>
    <t>PAN/C26-000114</t>
  </si>
  <si>
    <t>RITUALS</t>
  </si>
  <si>
    <t>PAN/C26-000210</t>
  </si>
  <si>
    <t>MARKY</t>
  </si>
  <si>
    <t>CASAMENTO (PRIVATE)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</si>
</sst>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]#,##0.00"/>
    <numFmt numFmtId="165" formatCode="[$$]#,##0.00"/>
    <numFmt numFmtId="166" formatCode="[$€]#,##0.00"/>
    <numFmt numFmtId="167" formatCode="dd/MM/yyyy"/>
    <numFmt numFmtId="168" formatCode="dd/mm/yyyy"/>
    <numFmt numFmtId="169" formatCode="d/m/yyyy"/>
    <numFmt numFmtId="170" formatCode="dd/mm/yy"/>
    <numFmt numFmtId="171" formatCode="hh:mm"/>
  </numFmts>
  <fonts count="12">
    <font>
      <sz val="12.0"/>
      <color theme="1"/>
      <name val="Aptos Narrow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0.0"/>
      <color rgb="FFFFFFFF"/>
      <name val="Arial"/>
    </font>
    <font>
      <b/>
      <sz val="10.0"/>
      <color rgb="FFFFFFFF"/>
      <name val="Aptos Narrow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9.0"/>
      <color rgb="FFFF0000"/>
      <name val="Calibri"/>
    </font>
    <font>
      <sz val="9.0"/>
      <color rgb="FF3C78D8"/>
      <name val="Calibri"/>
    </font>
    <font>
      <sz val="9.0"/>
      <color rgb="FFCC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readingOrder="0" shrinkToFit="0" vertical="center" wrapText="1"/>
    </xf>
    <xf borderId="0" fillId="3" fontId="1" numFmtId="166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6" numFmtId="167" xfId="0" applyAlignment="1" applyFont="1" applyNumberForma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4" fontId="6" numFmtId="168" xfId="0" applyAlignment="1" applyFont="1" applyNumberFormat="1">
      <alignment horizontal="center" readingOrder="0" vertical="center"/>
    </xf>
    <xf borderId="0" fillId="4" fontId="6" numFmtId="165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shrinkToFit="0" vertical="center" wrapText="1"/>
    </xf>
    <xf borderId="0" fillId="4" fontId="6" numFmtId="164" xfId="0" applyAlignment="1" applyFont="1" applyNumberForma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6" numFmtId="167" xfId="0" applyAlignment="1" applyFont="1" applyNumberForma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6" numFmtId="167" xfId="0" applyAlignment="1" applyFont="1" applyNumberFormat="1">
      <alignment horizontal="center" readingOrder="0" shrinkToFit="0" vertical="center" wrapText="1"/>
    </xf>
    <xf borderId="0" fillId="5" fontId="6" numFmtId="164" xfId="0" applyAlignment="1" applyFont="1" applyNumberFormat="1">
      <alignment horizontal="center" readingOrder="0" shrinkToFit="0" vertical="center" wrapText="1"/>
    </xf>
    <xf borderId="0" fillId="5" fontId="6" numFmtId="165" xfId="0" applyAlignment="1" applyFont="1" applyNumberFormat="1">
      <alignment horizontal="center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5" fontId="6" numFmtId="165" xfId="0" applyAlignment="1" applyFont="1" applyNumberForma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4" fontId="7" numFmtId="164" xfId="0" applyAlignment="1" applyFont="1" applyNumberFormat="1">
      <alignment horizontal="center" readingOrder="0" shrinkToFit="0" vertical="center" wrapText="1"/>
    </xf>
    <xf borderId="0" fillId="4" fontId="6" numFmtId="165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165" xfId="0" applyAlignment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shrinkToFit="0" vertical="center" wrapText="1"/>
    </xf>
    <xf borderId="0" fillId="4" fontId="9" numFmtId="167" xfId="0" applyAlignment="1" applyFont="1" applyNumberFormat="1">
      <alignment horizontal="center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4" fontId="9" numFmtId="164" xfId="0" applyAlignment="1" applyFont="1" applyNumberFormat="1">
      <alignment horizontal="center" shrinkToFit="0" vertical="center" wrapText="1"/>
    </xf>
    <xf borderId="0" fillId="4" fontId="9" numFmtId="167" xfId="0" applyAlignment="1" applyFont="1" applyNumberFormat="1">
      <alignment horizontal="center" readingOrder="0" shrinkToFit="0" vertical="center" wrapText="1"/>
    </xf>
    <xf borderId="0" fillId="5" fontId="6" numFmtId="164" xfId="0" applyAlignment="1" applyFont="1" applyNumberFormat="1">
      <alignment horizontal="center" readingOrder="0" shrinkToFit="0" vertical="center" wrapText="1"/>
    </xf>
    <xf borderId="0" fillId="4" fontId="7" numFmtId="2" xfId="0" applyAlignment="1" applyFont="1" applyNumberFormat="1">
      <alignment horizontal="center" readingOrder="0" shrinkToFit="0" vertical="center" wrapText="1"/>
    </xf>
    <xf borderId="0" fillId="5" fontId="6" numFmtId="4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7" numFmtId="168" xfId="0" applyAlignment="1" applyFont="1" applyNumberFormat="1">
      <alignment horizontal="center" readingOrder="0" shrinkToFit="0" vertical="center" wrapText="1"/>
    </xf>
    <xf borderId="0" fillId="4" fontId="7" numFmtId="164" xfId="0" applyAlignment="1" applyFont="1" applyNumberFormat="1">
      <alignment horizontal="center" readingOrder="0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7" numFmtId="167" xfId="0" applyAlignment="1" applyFont="1" applyNumberFormat="1">
      <alignment horizontal="center" shrinkToFit="0" vertical="center" wrapText="1"/>
    </xf>
    <xf borderId="0" fillId="5" fontId="7" numFmtId="167" xfId="0" applyAlignment="1" applyFont="1" applyNumberFormat="1">
      <alignment horizontal="center" readingOrder="0" shrinkToFit="0" vertical="center" wrapText="1"/>
    </xf>
    <xf borderId="0" fillId="5" fontId="7" numFmtId="168" xfId="0" applyAlignment="1" applyFont="1" applyNumberFormat="1">
      <alignment horizontal="center" readingOrder="0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5" fontId="6" numFmtId="168" xfId="0" applyAlignment="1" applyFont="1" applyNumberFormat="1">
      <alignment horizontal="center" readingOrder="0" shrinkToFit="0" vertical="center" wrapText="1"/>
    </xf>
    <xf borderId="0" fillId="5" fontId="7" numFmtId="165" xfId="0" applyAlignment="1" applyFont="1" applyNumberForma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4" fontId="6" numFmtId="164" xfId="0" applyAlignment="1" applyFont="1" applyNumberFormat="1">
      <alignment horizontal="center" readingOrder="0" vertical="center"/>
    </xf>
    <xf borderId="0" fillId="4" fontId="7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7" numFmtId="165" xfId="0" applyAlignment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7" numFmtId="167" xfId="0" applyAlignment="1" applyFont="1" applyNumberFormat="1">
      <alignment horizontal="center" shrinkToFit="0" vertical="center" wrapText="1"/>
    </xf>
    <xf borderId="0" fillId="4" fontId="7" numFmtId="167" xfId="0" applyAlignment="1" applyFont="1" applyNumberFormat="1">
      <alignment horizontal="center" readingOrder="0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6" fontId="6" numFmtId="164" xfId="0" applyAlignment="1" applyFont="1" applyNumberFormat="1">
      <alignment horizontal="center" shrinkToFit="0" vertical="center" wrapText="1"/>
    </xf>
    <xf borderId="0" fillId="6" fontId="6" numFmtId="165" xfId="0" applyAlignment="1" applyFont="1" applyNumberForma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4" fontId="7" numFmtId="169" xfId="0" applyAlignment="1" applyFont="1" applyNumberFormat="1">
      <alignment horizontal="center" readingOrder="0" shrinkToFit="0" vertical="center" wrapText="1"/>
    </xf>
    <xf borderId="0" fillId="4" fontId="6" numFmtId="164" xfId="0" applyAlignment="1" applyFont="1" applyNumberFormat="1">
      <alignment horizontal="center" readingOrder="0" shrinkToFit="0" vertical="center" wrapText="1"/>
    </xf>
    <xf borderId="0" fillId="5" fontId="7" numFmtId="170" xfId="0" applyAlignment="1" applyFont="1" applyNumberFormat="1">
      <alignment horizontal="center" readingOrder="0" shrinkToFit="0" vertical="center" wrapText="1"/>
    </xf>
    <xf borderId="0" fillId="5" fontId="7" numFmtId="171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4" fontId="7" numFmtId="170" xfId="0" applyAlignment="1" applyFont="1" applyNumberFormat="1">
      <alignment horizontal="center" readingOrder="0" shrinkToFit="0" vertical="center" wrapText="1"/>
    </xf>
    <xf borderId="0" fillId="4" fontId="7" numFmtId="165" xfId="0" applyAlignment="1" applyFont="1" applyNumberFormat="1">
      <alignment horizontal="center" readingOrder="0" shrinkToFit="0" vertical="center" wrapText="1"/>
    </xf>
    <xf borderId="0" fillId="4" fontId="6" numFmtId="164" xfId="0" applyAlignment="1" applyFont="1" applyNumberFormat="1">
      <alignment horizontal="center" shrinkToFit="0" vertical="center" wrapText="1"/>
    </xf>
    <xf borderId="0" fillId="4" fontId="7" numFmtId="166" xfId="0" applyAlignment="1" applyFont="1" applyNumberFormat="1">
      <alignment horizontal="center" readingOrder="0" shrinkToFit="0" vertical="center" wrapText="1"/>
    </xf>
    <xf borderId="0" fillId="5" fontId="7" numFmtId="166" xfId="0" applyAlignment="1" applyFont="1" applyNumberFormat="1">
      <alignment horizontal="center" readingOrder="0" shrinkToFit="0" vertical="center" wrapText="1"/>
    </xf>
    <xf borderId="0" fillId="4" fontId="6" numFmtId="168" xfId="0" applyAlignment="1" applyFont="1" applyNumberFormat="1">
      <alignment horizontal="center" shrinkToFit="0" vertical="center" wrapText="1"/>
    </xf>
    <xf borderId="0" fillId="4" fontId="9" numFmtId="168" xfId="0" applyAlignment="1" applyFont="1" applyNumberFormat="1">
      <alignment horizontal="center" shrinkToFit="0" vertical="center" wrapText="1"/>
    </xf>
    <xf borderId="0" fillId="4" fontId="9" numFmtId="0" xfId="0" applyAlignment="1" applyFont="1">
      <alignment horizontal="center" vertical="center"/>
    </xf>
    <xf borderId="0" fillId="4" fontId="9" numFmtId="165" xfId="0" applyAlignment="1" applyFont="1" applyNumberForma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5" fontId="9" numFmtId="168" xfId="0" applyAlignment="1" applyFont="1" applyNumberFormat="1">
      <alignment horizontal="center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167" xfId="0" applyAlignment="1" applyFont="1" applyNumberFormat="1">
      <alignment horizontal="center" shrinkToFit="0" vertical="center" wrapText="1"/>
    </xf>
    <xf borderId="0" fillId="5" fontId="9" numFmtId="164" xfId="0" applyAlignment="1" applyFont="1" applyNumberFormat="1">
      <alignment horizontal="center" readingOrder="0" shrinkToFit="0" vertical="center" wrapText="1"/>
    </xf>
    <xf borderId="0" fillId="4" fontId="9" numFmtId="168" xfId="0" applyAlignment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shrinkToFit="0" vertical="center" wrapText="1"/>
    </xf>
    <xf borderId="0" fillId="4" fontId="9" numFmtId="164" xfId="0" applyAlignment="1" applyFont="1" applyNumberFormat="1">
      <alignment horizontal="center" readingOrder="0" shrinkToFit="0" vertical="center" wrapText="1"/>
    </xf>
    <xf borderId="0" fillId="4" fontId="9" numFmtId="164" xfId="0" applyAlignment="1" applyFont="1" applyNumberFormat="1">
      <alignment horizontal="center" shrinkToFit="0" vertical="center" wrapText="1"/>
    </xf>
    <xf borderId="0" fillId="4" fontId="9" numFmtId="166" xfId="0" applyAlignment="1" applyFont="1" applyNumberFormat="1">
      <alignment horizontal="center" readingOrder="0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0" fillId="5" fontId="7" numFmtId="4" xfId="0" applyAlignment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0" fillId="4" fontId="7" numFmtId="4" xfId="0" applyAlignment="1" applyFont="1" applyNumberFormat="1">
      <alignment horizontal="center" shrinkToFit="0" vertical="center" wrapText="1"/>
    </xf>
    <xf borderId="0" fillId="4" fontId="7" numFmtId="168" xfId="0" applyAlignment="1" applyFont="1" applyNumberFormat="1">
      <alignment horizontal="center" shrinkToFit="0" vertical="center" wrapText="1"/>
    </xf>
    <xf borderId="0" fillId="5" fontId="7" numFmtId="168" xfId="0" applyAlignment="1" applyFont="1" applyNumberFormat="1">
      <alignment horizontal="center" shrinkToFit="0" vertical="center" wrapText="1"/>
    </xf>
    <xf borderId="0" fillId="4" fontId="6" numFmtId="168" xfId="0" applyAlignment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5" fontId="9" numFmtId="167" xfId="0" applyAlignment="1" applyFont="1" applyNumberFormat="1">
      <alignment horizontal="center" readingOrder="0" shrinkToFit="0" vertical="center" wrapText="1"/>
    </xf>
    <xf borderId="0" fillId="5" fontId="9" numFmtId="164" xfId="0" applyAlignment="1" applyFont="1" applyNumberFormat="1">
      <alignment horizontal="center" readingOrder="0" shrinkToFit="0" vertical="center" wrapText="1"/>
    </xf>
    <xf borderId="0" fillId="5" fontId="9" numFmtId="165" xfId="0" applyAlignment="1" applyFont="1" applyNumberFormat="1">
      <alignment horizontal="center" readingOrder="0" shrinkToFit="0" vertical="center" wrapText="1"/>
    </xf>
    <xf borderId="0" fillId="5" fontId="9" numFmtId="166" xfId="0" applyAlignment="1" applyFont="1" applyNumberFormat="1">
      <alignment horizontal="center" readingOrder="0" shrinkToFit="0" vertical="center" wrapText="1"/>
    </xf>
    <xf borderId="2" fillId="7" fontId="8" numFmtId="0" xfId="0" applyAlignment="1" applyBorder="1" applyFont="1">
      <alignment horizontal="center" readingOrder="0" shrinkToFit="0" vertical="center" wrapText="1"/>
    </xf>
    <xf borderId="0" fillId="4" fontId="9" numFmtId="164" xfId="0" applyAlignment="1" applyFont="1" applyNumberForma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0" fillId="4" fontId="9" numFmtId="165" xfId="0" applyAlignment="1" applyFont="1" applyNumberForma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4" fontId="6" numFmtId="166" xfId="0" applyAlignment="1" applyFont="1" applyNumberFormat="1">
      <alignment horizontal="center" shrinkToFit="0" vertical="center" wrapText="1"/>
    </xf>
    <xf borderId="0" fillId="4" fontId="9" numFmtId="169" xfId="0" applyAlignment="1" applyFont="1" applyNumberFormat="1">
      <alignment horizontal="center" shrinkToFit="0" vertical="center" wrapText="1"/>
    </xf>
    <xf borderId="0" fillId="8" fontId="8" numFmtId="0" xfId="0" applyAlignment="1" applyFill="1" applyFont="1">
      <alignment horizontal="center" readingOrder="0" shrinkToFit="0" vertical="center" wrapText="1"/>
    </xf>
    <xf borderId="0" fillId="5" fontId="9" numFmtId="169" xfId="0" applyAlignment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89"/>
    <col customWidth="1" min="2" max="3" width="13.22"/>
    <col customWidth="1" min="4" max="4" width="14.56"/>
    <col customWidth="1" min="5" max="5" width="9.33"/>
    <col customWidth="1" min="6" max="6" width="10.56"/>
    <col customWidth="1" min="7" max="7" width="12.89"/>
    <col customWidth="1" min="8" max="9" width="14.89"/>
    <col customWidth="1" min="10" max="10" width="29.78"/>
    <col customWidth="1" min="11" max="11" width="16.67"/>
    <col customWidth="1" min="12" max="12" width="36.89"/>
    <col customWidth="1" min="13" max="13" width="14.33"/>
    <col customWidth="1" min="14" max="14" width="13.44"/>
    <col customWidth="1" min="15" max="15" width="10.56"/>
  </cols>
  <sheetData>
    <row r="1" ht="14.25" hidden="1" customHeight="1">
      <c r="A1" s="1"/>
      <c r="B1" s="2" t="s">
        <v>0</v>
      </c>
      <c r="C1" s="2"/>
      <c r="D1" s="3"/>
      <c r="E1" s="4"/>
      <c r="F1" s="2"/>
      <c r="G1" s="5">
        <f>SUM(G2:G170)</f>
        <v>422755.85</v>
      </c>
      <c r="H1" s="6">
        <f>SUM(H42:H170)</f>
        <v>-3180</v>
      </c>
      <c r="I1" s="7"/>
      <c r="J1" s="1"/>
      <c r="K1" s="1"/>
      <c r="L1" s="1"/>
      <c r="M1" s="8">
        <f>IFERROR(__xludf.DUMMYFUNCTION("COUNTUNIQUE(M42:M170)"),40.0)</f>
        <v>40</v>
      </c>
      <c r="N1" s="9"/>
      <c r="O1" s="9"/>
    </row>
    <row r="2" ht="26.25" customHeight="1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  <c r="F2" s="10" t="s">
        <v>6</v>
      </c>
      <c r="G2" s="12" t="s">
        <v>7</v>
      </c>
      <c r="H2" s="13" t="s">
        <v>8</v>
      </c>
      <c r="I2" s="14" t="s">
        <v>9</v>
      </c>
      <c r="J2" s="10" t="s">
        <v>10</v>
      </c>
      <c r="K2" s="10" t="s">
        <v>11</v>
      </c>
      <c r="L2" s="10" t="s">
        <v>12</v>
      </c>
      <c r="M2" s="15" t="s">
        <v>13</v>
      </c>
      <c r="N2" s="15" t="s">
        <v>14</v>
      </c>
      <c r="O2" s="15" t="s">
        <v>15</v>
      </c>
    </row>
    <row r="3" ht="26.25" hidden="1" customHeight="1">
      <c r="A3" s="16" t="s">
        <v>16</v>
      </c>
      <c r="B3" s="17">
        <v>46116.0</v>
      </c>
      <c r="C3" s="18" t="s">
        <v>17</v>
      </c>
      <c r="D3" s="19" t="s">
        <v>18</v>
      </c>
      <c r="E3" s="18" t="s">
        <v>19</v>
      </c>
      <c r="F3" s="20">
        <v>46072.0</v>
      </c>
      <c r="G3" s="19">
        <f>7610.26</f>
        <v>7610.26</v>
      </c>
      <c r="H3" s="21">
        <v>2000.0</v>
      </c>
      <c r="I3" s="21"/>
      <c r="J3" s="19" t="s">
        <v>20</v>
      </c>
      <c r="K3" s="22"/>
      <c r="L3" s="22"/>
      <c r="M3" s="18" t="s">
        <v>21</v>
      </c>
      <c r="N3" s="22"/>
      <c r="O3" s="22"/>
    </row>
    <row r="4" ht="26.25" hidden="1" customHeight="1">
      <c r="A4" s="16" t="s">
        <v>22</v>
      </c>
      <c r="B4" s="17">
        <v>46122.0</v>
      </c>
      <c r="C4" s="18" t="s">
        <v>17</v>
      </c>
      <c r="D4" s="19" t="s">
        <v>23</v>
      </c>
      <c r="E4" s="22" t="s">
        <v>24</v>
      </c>
      <c r="F4" s="23">
        <v>46122.0</v>
      </c>
      <c r="G4" s="24">
        <v>1000.0</v>
      </c>
      <c r="H4" s="19"/>
      <c r="I4" s="19"/>
      <c r="J4" s="19" t="s">
        <v>25</v>
      </c>
      <c r="K4" s="18" t="s">
        <v>26</v>
      </c>
      <c r="L4" s="18" t="s">
        <v>27</v>
      </c>
      <c r="M4" s="18" t="s">
        <v>28</v>
      </c>
      <c r="N4" s="22"/>
      <c r="O4" s="22"/>
    </row>
    <row r="5" ht="26.25" hidden="1" customHeight="1">
      <c r="A5" s="16" t="s">
        <v>22</v>
      </c>
      <c r="B5" s="17">
        <v>46122.0</v>
      </c>
      <c r="C5" s="18" t="s">
        <v>17</v>
      </c>
      <c r="D5" s="19" t="s">
        <v>23</v>
      </c>
      <c r="E5" s="22" t="s">
        <v>24</v>
      </c>
      <c r="F5" s="23">
        <v>46121.0</v>
      </c>
      <c r="G5" s="24">
        <v>2000.0</v>
      </c>
      <c r="H5" s="19"/>
      <c r="I5" s="19"/>
      <c r="J5" s="19" t="s">
        <v>25</v>
      </c>
      <c r="K5" s="18" t="s">
        <v>26</v>
      </c>
      <c r="L5" s="18" t="s">
        <v>29</v>
      </c>
      <c r="M5" s="18" t="s">
        <v>28</v>
      </c>
      <c r="N5" s="22"/>
      <c r="O5" s="22"/>
    </row>
    <row r="6" ht="26.25" hidden="1" customHeight="1">
      <c r="A6" s="16" t="s">
        <v>22</v>
      </c>
      <c r="B6" s="17">
        <v>46122.0</v>
      </c>
      <c r="C6" s="18" t="s">
        <v>17</v>
      </c>
      <c r="D6" s="19" t="s">
        <v>23</v>
      </c>
      <c r="E6" s="22" t="s">
        <v>24</v>
      </c>
      <c r="F6" s="23">
        <v>46121.0</v>
      </c>
      <c r="G6" s="24">
        <v>30000.0</v>
      </c>
      <c r="H6" s="19"/>
      <c r="I6" s="19"/>
      <c r="J6" s="19" t="s">
        <v>25</v>
      </c>
      <c r="K6" s="18" t="s">
        <v>26</v>
      </c>
      <c r="L6" s="18" t="s">
        <v>30</v>
      </c>
      <c r="M6" s="18" t="s">
        <v>28</v>
      </c>
      <c r="N6" s="22"/>
      <c r="O6" s="22"/>
    </row>
    <row r="7" ht="26.25" hidden="1" customHeight="1">
      <c r="A7" s="16" t="s">
        <v>22</v>
      </c>
      <c r="B7" s="17">
        <v>46122.0</v>
      </c>
      <c r="C7" s="18" t="s">
        <v>17</v>
      </c>
      <c r="D7" s="19" t="s">
        <v>23</v>
      </c>
      <c r="E7" s="22" t="s">
        <v>24</v>
      </c>
      <c r="F7" s="23">
        <v>46108.0</v>
      </c>
      <c r="G7" s="24">
        <v>30000.0</v>
      </c>
      <c r="H7" s="19"/>
      <c r="I7" s="19"/>
      <c r="J7" s="19" t="s">
        <v>25</v>
      </c>
      <c r="K7" s="18" t="s">
        <v>26</v>
      </c>
      <c r="L7" s="18" t="s">
        <v>30</v>
      </c>
      <c r="M7" s="18" t="s">
        <v>28</v>
      </c>
      <c r="N7" s="22"/>
      <c r="O7" s="22"/>
    </row>
    <row r="8" ht="26.25" hidden="1" customHeight="1">
      <c r="A8" s="25" t="s">
        <v>22</v>
      </c>
      <c r="B8" s="26">
        <v>46122.0</v>
      </c>
      <c r="C8" s="27" t="s">
        <v>17</v>
      </c>
      <c r="D8" s="28" t="s">
        <v>23</v>
      </c>
      <c r="E8" s="29" t="s">
        <v>24</v>
      </c>
      <c r="F8" s="30">
        <v>46121.0</v>
      </c>
      <c r="G8" s="31">
        <v>-550.0</v>
      </c>
      <c r="H8" s="32"/>
      <c r="I8" s="32"/>
      <c r="J8" s="28" t="s">
        <v>31</v>
      </c>
      <c r="K8" s="29"/>
      <c r="L8" s="27" t="s">
        <v>32</v>
      </c>
      <c r="M8" s="27" t="s">
        <v>28</v>
      </c>
      <c r="N8" s="29"/>
      <c r="O8" s="29"/>
    </row>
    <row r="9" ht="26.25" hidden="1" customHeight="1">
      <c r="A9" s="25" t="s">
        <v>22</v>
      </c>
      <c r="B9" s="26">
        <v>46122.0</v>
      </c>
      <c r="C9" s="27" t="s">
        <v>17</v>
      </c>
      <c r="D9" s="28" t="s">
        <v>23</v>
      </c>
      <c r="E9" s="29" t="s">
        <v>24</v>
      </c>
      <c r="F9" s="30">
        <v>46125.0</v>
      </c>
      <c r="G9" s="31">
        <v>-83.62</v>
      </c>
      <c r="H9" s="32"/>
      <c r="I9" s="32"/>
      <c r="J9" s="28" t="s">
        <v>31</v>
      </c>
      <c r="K9" s="29"/>
      <c r="L9" s="27" t="s">
        <v>33</v>
      </c>
      <c r="M9" s="27" t="s">
        <v>28</v>
      </c>
      <c r="N9" s="29"/>
      <c r="O9" s="29"/>
    </row>
    <row r="10" ht="26.25" hidden="1" customHeight="1">
      <c r="A10" s="25" t="s">
        <v>22</v>
      </c>
      <c r="B10" s="26">
        <v>46122.0</v>
      </c>
      <c r="C10" s="27" t="s">
        <v>17</v>
      </c>
      <c r="D10" s="28" t="s">
        <v>23</v>
      </c>
      <c r="E10" s="29" t="s">
        <v>24</v>
      </c>
      <c r="F10" s="30">
        <v>46121.0</v>
      </c>
      <c r="G10" s="31">
        <v>-900.0</v>
      </c>
      <c r="H10" s="32"/>
      <c r="I10" s="32"/>
      <c r="J10" s="28" t="s">
        <v>31</v>
      </c>
      <c r="K10" s="29"/>
      <c r="L10" s="27" t="s">
        <v>27</v>
      </c>
      <c r="M10" s="27" t="s">
        <v>28</v>
      </c>
      <c r="N10" s="29"/>
      <c r="O10" s="29"/>
    </row>
    <row r="11" ht="26.25" hidden="1" customHeight="1">
      <c r="A11" s="25" t="s">
        <v>22</v>
      </c>
      <c r="B11" s="26">
        <v>46122.0</v>
      </c>
      <c r="C11" s="27" t="s">
        <v>17</v>
      </c>
      <c r="D11" s="28" t="s">
        <v>23</v>
      </c>
      <c r="E11" s="29" t="s">
        <v>24</v>
      </c>
      <c r="F11" s="30">
        <v>46126.0</v>
      </c>
      <c r="G11" s="33">
        <v>-1050.0</v>
      </c>
      <c r="H11" s="32"/>
      <c r="I11" s="32"/>
      <c r="J11" s="28" t="s">
        <v>34</v>
      </c>
      <c r="K11" s="29"/>
      <c r="L11" s="27" t="s">
        <v>35</v>
      </c>
      <c r="M11" s="27" t="s">
        <v>28</v>
      </c>
      <c r="N11" s="29"/>
      <c r="O11" s="29"/>
    </row>
    <row r="12" ht="26.25" hidden="1" customHeight="1">
      <c r="A12" s="25" t="s">
        <v>22</v>
      </c>
      <c r="B12" s="26">
        <v>46122.0</v>
      </c>
      <c r="C12" s="27" t="s">
        <v>17</v>
      </c>
      <c r="D12" s="28" t="s">
        <v>23</v>
      </c>
      <c r="E12" s="29" t="s">
        <v>24</v>
      </c>
      <c r="F12" s="30">
        <v>46132.0</v>
      </c>
      <c r="G12" s="33">
        <f>-135-531.49</f>
        <v>-666.49</v>
      </c>
      <c r="H12" s="32"/>
      <c r="I12" s="32"/>
      <c r="J12" s="28" t="s">
        <v>36</v>
      </c>
      <c r="K12" s="29"/>
      <c r="L12" s="27" t="s">
        <v>37</v>
      </c>
      <c r="M12" s="27" t="s">
        <v>28</v>
      </c>
      <c r="N12" s="29"/>
      <c r="O12" s="29"/>
    </row>
    <row r="13" ht="26.25" hidden="1" customHeight="1">
      <c r="A13" s="25" t="s">
        <v>22</v>
      </c>
      <c r="B13" s="26">
        <v>46122.0</v>
      </c>
      <c r="C13" s="27" t="s">
        <v>17</v>
      </c>
      <c r="D13" s="28" t="s">
        <v>23</v>
      </c>
      <c r="E13" s="29" t="s">
        <v>24</v>
      </c>
      <c r="F13" s="30">
        <v>46134.0</v>
      </c>
      <c r="G13" s="33">
        <f>-135-601.77</f>
        <v>-736.77</v>
      </c>
      <c r="H13" s="32"/>
      <c r="I13" s="32"/>
      <c r="J13" s="28" t="s">
        <v>36</v>
      </c>
      <c r="K13" s="29"/>
      <c r="L13" s="27" t="s">
        <v>37</v>
      </c>
      <c r="M13" s="27" t="s">
        <v>28</v>
      </c>
      <c r="N13" s="29"/>
      <c r="O13" s="29"/>
    </row>
    <row r="14" ht="26.25" hidden="1" customHeight="1">
      <c r="A14" s="25" t="s">
        <v>22</v>
      </c>
      <c r="B14" s="26">
        <v>46122.0</v>
      </c>
      <c r="C14" s="27" t="s">
        <v>17</v>
      </c>
      <c r="D14" s="28" t="s">
        <v>23</v>
      </c>
      <c r="E14" s="29" t="s">
        <v>24</v>
      </c>
      <c r="F14" s="30">
        <v>46134.0</v>
      </c>
      <c r="G14" s="33">
        <v>-20227.6</v>
      </c>
      <c r="H14" s="34">
        <v>3930.0</v>
      </c>
      <c r="I14" s="34"/>
      <c r="J14" s="28" t="s">
        <v>36</v>
      </c>
      <c r="K14" s="29"/>
      <c r="L14" s="27" t="s">
        <v>38</v>
      </c>
      <c r="M14" s="27" t="s">
        <v>28</v>
      </c>
      <c r="N14" s="29"/>
      <c r="O14" s="29"/>
    </row>
    <row r="15" ht="26.25" hidden="1" customHeight="1">
      <c r="A15" s="25" t="s">
        <v>22</v>
      </c>
      <c r="B15" s="26">
        <v>46122.0</v>
      </c>
      <c r="C15" s="27" t="s">
        <v>17</v>
      </c>
      <c r="D15" s="28" t="s">
        <v>23</v>
      </c>
      <c r="E15" s="29" t="s">
        <v>24</v>
      </c>
      <c r="F15" s="30">
        <v>46132.0</v>
      </c>
      <c r="G15" s="33">
        <v>-20247.2</v>
      </c>
      <c r="H15" s="34">
        <v>3930.0</v>
      </c>
      <c r="I15" s="34"/>
      <c r="J15" s="28" t="s">
        <v>36</v>
      </c>
      <c r="K15" s="29"/>
      <c r="L15" s="27" t="s">
        <v>38</v>
      </c>
      <c r="M15" s="27" t="s">
        <v>28</v>
      </c>
      <c r="N15" s="29"/>
      <c r="O15" s="29"/>
    </row>
    <row r="16" ht="26.25" hidden="1" customHeight="1">
      <c r="A16" s="25" t="s">
        <v>22</v>
      </c>
      <c r="B16" s="26">
        <v>46122.0</v>
      </c>
      <c r="C16" s="27" t="s">
        <v>17</v>
      </c>
      <c r="D16" s="28" t="s">
        <v>23</v>
      </c>
      <c r="E16" s="29" t="s">
        <v>24</v>
      </c>
      <c r="F16" s="30">
        <v>46154.0</v>
      </c>
      <c r="G16" s="28">
        <v>-538.3</v>
      </c>
      <c r="H16" s="34">
        <v>140.0</v>
      </c>
      <c r="I16" s="34"/>
      <c r="J16" s="28" t="s">
        <v>39</v>
      </c>
      <c r="K16" s="29"/>
      <c r="L16" s="27" t="s">
        <v>40</v>
      </c>
      <c r="M16" s="27" t="s">
        <v>28</v>
      </c>
      <c r="N16" s="29"/>
      <c r="O16" s="29"/>
    </row>
    <row r="17" ht="26.25" hidden="1" customHeight="1">
      <c r="A17" s="25" t="s">
        <v>22</v>
      </c>
      <c r="B17" s="26">
        <v>46122.0</v>
      </c>
      <c r="C17" s="27" t="s">
        <v>17</v>
      </c>
      <c r="D17" s="28" t="s">
        <v>23</v>
      </c>
      <c r="E17" s="29" t="s">
        <v>24</v>
      </c>
      <c r="F17" s="30">
        <v>46157.0</v>
      </c>
      <c r="G17" s="28">
        <v>-4238.3</v>
      </c>
      <c r="H17" s="34"/>
      <c r="I17" s="34"/>
      <c r="J17" s="28" t="s">
        <v>41</v>
      </c>
      <c r="K17" s="29"/>
      <c r="L17" s="27" t="s">
        <v>42</v>
      </c>
      <c r="M17" s="27" t="s">
        <v>28</v>
      </c>
      <c r="N17" s="29"/>
      <c r="O17" s="29"/>
    </row>
    <row r="18" ht="26.25" hidden="1" customHeight="1">
      <c r="A18" s="16" t="s">
        <v>22</v>
      </c>
      <c r="B18" s="17">
        <v>46123.0</v>
      </c>
      <c r="C18" s="18" t="s">
        <v>17</v>
      </c>
      <c r="D18" s="19" t="s">
        <v>43</v>
      </c>
      <c r="E18" s="22" t="s">
        <v>44</v>
      </c>
      <c r="F18" s="23">
        <v>46123.0</v>
      </c>
      <c r="G18" s="24">
        <v>3400.0</v>
      </c>
      <c r="H18" s="19"/>
      <c r="I18" s="19"/>
      <c r="J18" s="19" t="s">
        <v>45</v>
      </c>
      <c r="K18" s="22"/>
      <c r="L18" s="18" t="s">
        <v>46</v>
      </c>
      <c r="M18" s="18" t="s">
        <v>47</v>
      </c>
      <c r="N18" s="22"/>
      <c r="O18" s="22"/>
    </row>
    <row r="19" ht="26.25" hidden="1" customHeight="1">
      <c r="A19" s="16" t="s">
        <v>22</v>
      </c>
      <c r="B19" s="17">
        <v>46123.0</v>
      </c>
      <c r="C19" s="18" t="s">
        <v>17</v>
      </c>
      <c r="D19" s="19" t="s">
        <v>43</v>
      </c>
      <c r="E19" s="22" t="s">
        <v>44</v>
      </c>
      <c r="F19" s="23">
        <v>46051.0</v>
      </c>
      <c r="G19" s="24">
        <v>14987.5</v>
      </c>
      <c r="H19" s="19"/>
      <c r="I19" s="19"/>
      <c r="J19" s="19" t="s">
        <v>48</v>
      </c>
      <c r="K19" s="22"/>
      <c r="L19" s="18" t="s">
        <v>49</v>
      </c>
      <c r="M19" s="18" t="s">
        <v>47</v>
      </c>
      <c r="N19" s="22"/>
      <c r="O19" s="22"/>
    </row>
    <row r="20" ht="26.25" hidden="1" customHeight="1">
      <c r="A20" s="25" t="s">
        <v>22</v>
      </c>
      <c r="B20" s="26">
        <v>46123.0</v>
      </c>
      <c r="C20" s="27" t="s">
        <v>17</v>
      </c>
      <c r="D20" s="28" t="s">
        <v>43</v>
      </c>
      <c r="E20" s="29" t="s">
        <v>44</v>
      </c>
      <c r="F20" s="30">
        <v>46125.0</v>
      </c>
      <c r="G20" s="31">
        <v>-281.64</v>
      </c>
      <c r="H20" s="28"/>
      <c r="I20" s="28"/>
      <c r="J20" s="28" t="s">
        <v>31</v>
      </c>
      <c r="K20" s="29"/>
      <c r="L20" s="27" t="s">
        <v>33</v>
      </c>
      <c r="M20" s="27" t="s">
        <v>47</v>
      </c>
      <c r="N20" s="29"/>
      <c r="O20" s="29"/>
    </row>
    <row r="21" ht="26.25" hidden="1" customHeight="1">
      <c r="A21" s="25" t="s">
        <v>22</v>
      </c>
      <c r="B21" s="26">
        <v>46123.0</v>
      </c>
      <c r="C21" s="27" t="s">
        <v>17</v>
      </c>
      <c r="D21" s="28" t="s">
        <v>43</v>
      </c>
      <c r="E21" s="29" t="s">
        <v>24</v>
      </c>
      <c r="F21" s="30">
        <v>46125.0</v>
      </c>
      <c r="G21" s="31">
        <v>-550.0</v>
      </c>
      <c r="H21" s="32"/>
      <c r="I21" s="32"/>
      <c r="J21" s="28" t="s">
        <v>31</v>
      </c>
      <c r="K21" s="29"/>
      <c r="L21" s="27" t="s">
        <v>32</v>
      </c>
      <c r="M21" s="27" t="s">
        <v>47</v>
      </c>
      <c r="N21" s="29"/>
      <c r="O21" s="29"/>
    </row>
    <row r="22" ht="26.25" hidden="1" customHeight="1">
      <c r="A22" s="25" t="s">
        <v>22</v>
      </c>
      <c r="B22" s="26">
        <v>46123.0</v>
      </c>
      <c r="C22" s="27" t="s">
        <v>17</v>
      </c>
      <c r="D22" s="28" t="s">
        <v>43</v>
      </c>
      <c r="E22" s="29" t="s">
        <v>44</v>
      </c>
      <c r="F22" s="30">
        <v>46125.0</v>
      </c>
      <c r="G22" s="31">
        <v>-900.0</v>
      </c>
      <c r="H22" s="28"/>
      <c r="I22" s="28"/>
      <c r="J22" s="28" t="s">
        <v>31</v>
      </c>
      <c r="K22" s="29"/>
      <c r="L22" s="27" t="s">
        <v>27</v>
      </c>
      <c r="M22" s="27" t="s">
        <v>47</v>
      </c>
      <c r="N22" s="29"/>
      <c r="O22" s="29"/>
    </row>
    <row r="23" ht="26.25" hidden="1" customHeight="1">
      <c r="A23" s="35" t="s">
        <v>50</v>
      </c>
      <c r="B23" s="17">
        <v>46132.0</v>
      </c>
      <c r="C23" s="18" t="s">
        <v>17</v>
      </c>
      <c r="D23" s="36" t="s">
        <v>51</v>
      </c>
      <c r="E23" s="22" t="s">
        <v>24</v>
      </c>
      <c r="F23" s="23">
        <v>46127.0</v>
      </c>
      <c r="G23" s="37">
        <v>20600.0</v>
      </c>
      <c r="H23" s="38"/>
      <c r="I23" s="38"/>
      <c r="J23" s="19" t="s">
        <v>52</v>
      </c>
      <c r="K23" s="22"/>
      <c r="L23" s="18" t="s">
        <v>53</v>
      </c>
      <c r="M23" s="18" t="s">
        <v>54</v>
      </c>
      <c r="N23" s="22"/>
      <c r="O23" s="22"/>
    </row>
    <row r="24" ht="26.25" hidden="1" customHeight="1">
      <c r="A24" s="39" t="s">
        <v>50</v>
      </c>
      <c r="B24" s="26">
        <v>46132.0</v>
      </c>
      <c r="C24" s="27" t="s">
        <v>17</v>
      </c>
      <c r="D24" s="40" t="s">
        <v>51</v>
      </c>
      <c r="E24" s="29" t="s">
        <v>24</v>
      </c>
      <c r="F24" s="30">
        <v>46136.0</v>
      </c>
      <c r="G24" s="33">
        <v>-500.0</v>
      </c>
      <c r="H24" s="28"/>
      <c r="I24" s="28"/>
      <c r="J24" s="28" t="s">
        <v>55</v>
      </c>
      <c r="K24" s="29"/>
      <c r="L24" s="27" t="s">
        <v>32</v>
      </c>
      <c r="M24" s="27" t="s">
        <v>54</v>
      </c>
      <c r="N24" s="29"/>
      <c r="O24" s="29"/>
    </row>
    <row r="25" ht="26.25" hidden="1" customHeight="1">
      <c r="A25" s="39" t="s">
        <v>50</v>
      </c>
      <c r="B25" s="26">
        <v>46132.0</v>
      </c>
      <c r="C25" s="27" t="s">
        <v>17</v>
      </c>
      <c r="D25" s="40" t="s">
        <v>51</v>
      </c>
      <c r="E25" s="29" t="s">
        <v>24</v>
      </c>
      <c r="F25" s="30">
        <v>46132.0</v>
      </c>
      <c r="G25" s="33">
        <v>-600.0</v>
      </c>
      <c r="H25" s="28"/>
      <c r="I25" s="28"/>
      <c r="J25" s="28" t="s">
        <v>55</v>
      </c>
      <c r="K25" s="29"/>
      <c r="L25" s="27" t="s">
        <v>27</v>
      </c>
      <c r="M25" s="27" t="s">
        <v>54</v>
      </c>
      <c r="N25" s="29"/>
      <c r="O25" s="29"/>
    </row>
    <row r="26" ht="26.25" hidden="1" customHeight="1">
      <c r="A26" s="39" t="s">
        <v>50</v>
      </c>
      <c r="B26" s="26">
        <v>46132.0</v>
      </c>
      <c r="C26" s="27" t="s">
        <v>17</v>
      </c>
      <c r="D26" s="40" t="s">
        <v>51</v>
      </c>
      <c r="E26" s="29" t="s">
        <v>24</v>
      </c>
      <c r="F26" s="27" t="s">
        <v>56</v>
      </c>
      <c r="G26" s="33">
        <v>-1050.0</v>
      </c>
      <c r="H26" s="28"/>
      <c r="I26" s="28"/>
      <c r="J26" s="28" t="s">
        <v>34</v>
      </c>
      <c r="K26" s="29"/>
      <c r="L26" s="27" t="s">
        <v>35</v>
      </c>
      <c r="M26" s="27" t="s">
        <v>54</v>
      </c>
      <c r="N26" s="29"/>
      <c r="O26" s="29"/>
    </row>
    <row r="27" ht="26.25" hidden="1" customHeight="1">
      <c r="A27" s="39" t="s">
        <v>50</v>
      </c>
      <c r="B27" s="26">
        <v>46132.0</v>
      </c>
      <c r="C27" s="27" t="s">
        <v>17</v>
      </c>
      <c r="D27" s="40" t="s">
        <v>51</v>
      </c>
      <c r="E27" s="29" t="s">
        <v>24</v>
      </c>
      <c r="F27" s="30">
        <v>46129.0</v>
      </c>
      <c r="G27" s="33">
        <f>(-22948.02+15870)</f>
        <v>-7078.02</v>
      </c>
      <c r="H27" s="41">
        <f>4338-3000</f>
        <v>1338</v>
      </c>
      <c r="I27" s="41"/>
      <c r="J27" s="28" t="s">
        <v>57</v>
      </c>
      <c r="K27" s="29"/>
      <c r="L27" s="27" t="s">
        <v>58</v>
      </c>
      <c r="M27" s="27" t="s">
        <v>54</v>
      </c>
      <c r="N27" s="29"/>
      <c r="O27" s="29"/>
    </row>
    <row r="28" ht="26.25" hidden="1" customHeight="1">
      <c r="A28" s="39" t="s">
        <v>50</v>
      </c>
      <c r="B28" s="26">
        <v>46132.0</v>
      </c>
      <c r="C28" s="27" t="s">
        <v>17</v>
      </c>
      <c r="D28" s="40" t="s">
        <v>51</v>
      </c>
      <c r="E28" s="29" t="s">
        <v>24</v>
      </c>
      <c r="F28" s="30">
        <v>46146.0</v>
      </c>
      <c r="G28" s="33">
        <v>-1726.7</v>
      </c>
      <c r="H28" s="32"/>
      <c r="I28" s="32"/>
      <c r="J28" s="28" t="s">
        <v>59</v>
      </c>
      <c r="K28" s="29"/>
      <c r="L28" s="27" t="s">
        <v>60</v>
      </c>
      <c r="M28" s="27" t="s">
        <v>54</v>
      </c>
      <c r="N28" s="29"/>
      <c r="O28" s="29"/>
    </row>
    <row r="29" ht="26.25" hidden="1" customHeight="1">
      <c r="A29" s="39" t="s">
        <v>50</v>
      </c>
      <c r="B29" s="26">
        <v>46132.0</v>
      </c>
      <c r="C29" s="27" t="s">
        <v>17</v>
      </c>
      <c r="D29" s="40" t="s">
        <v>51</v>
      </c>
      <c r="E29" s="29" t="s">
        <v>24</v>
      </c>
      <c r="F29" s="30">
        <v>46146.0</v>
      </c>
      <c r="G29" s="33">
        <v>-1583.3</v>
      </c>
      <c r="H29" s="32"/>
      <c r="I29" s="32"/>
      <c r="J29" s="28" t="s">
        <v>61</v>
      </c>
      <c r="K29" s="29"/>
      <c r="L29" s="27" t="s">
        <v>62</v>
      </c>
      <c r="M29" s="27" t="s">
        <v>54</v>
      </c>
      <c r="N29" s="29"/>
      <c r="O29" s="29"/>
    </row>
    <row r="30" ht="26.25" hidden="1" customHeight="1">
      <c r="A30" s="39" t="s">
        <v>50</v>
      </c>
      <c r="B30" s="26">
        <v>46132.0</v>
      </c>
      <c r="C30" s="27" t="s">
        <v>17</v>
      </c>
      <c r="D30" s="40" t="s">
        <v>51</v>
      </c>
      <c r="E30" s="29" t="s">
        <v>24</v>
      </c>
      <c r="F30" s="30">
        <v>46126.0</v>
      </c>
      <c r="G30" s="33">
        <v>-143.58</v>
      </c>
      <c r="H30" s="32"/>
      <c r="I30" s="32"/>
      <c r="J30" s="28" t="s">
        <v>39</v>
      </c>
      <c r="K30" s="29"/>
      <c r="L30" s="27" t="s">
        <v>63</v>
      </c>
      <c r="M30" s="27" t="s">
        <v>54</v>
      </c>
      <c r="N30" s="29"/>
      <c r="O30" s="29"/>
    </row>
    <row r="31" ht="26.25" hidden="1" customHeight="1">
      <c r="A31" s="39" t="s">
        <v>50</v>
      </c>
      <c r="B31" s="26">
        <v>46132.0</v>
      </c>
      <c r="C31" s="27" t="s">
        <v>17</v>
      </c>
      <c r="D31" s="40" t="s">
        <v>51</v>
      </c>
      <c r="E31" s="29" t="s">
        <v>24</v>
      </c>
      <c r="F31" s="30">
        <v>46126.0</v>
      </c>
      <c r="G31" s="33">
        <v>-4323.19</v>
      </c>
      <c r="H31" s="32"/>
      <c r="I31" s="32"/>
      <c r="J31" s="28" t="s">
        <v>39</v>
      </c>
      <c r="K31" s="29"/>
      <c r="L31" s="27" t="s">
        <v>63</v>
      </c>
      <c r="M31" s="27" t="s">
        <v>54</v>
      </c>
      <c r="N31" s="29"/>
      <c r="O31" s="29"/>
    </row>
    <row r="32" ht="26.25" hidden="1" customHeight="1">
      <c r="A32" s="39" t="s">
        <v>50</v>
      </c>
      <c r="B32" s="30">
        <v>46132.0</v>
      </c>
      <c r="C32" s="27" t="s">
        <v>17</v>
      </c>
      <c r="D32" s="40" t="s">
        <v>51</v>
      </c>
      <c r="E32" s="29" t="s">
        <v>24</v>
      </c>
      <c r="F32" s="30">
        <v>46129.0</v>
      </c>
      <c r="G32" s="33">
        <f>-(3000*5.29)</f>
        <v>-15870</v>
      </c>
      <c r="H32" s="34">
        <v>3000.0</v>
      </c>
      <c r="I32" s="34"/>
      <c r="J32" s="28" t="s">
        <v>57</v>
      </c>
      <c r="K32" s="29"/>
      <c r="L32" s="27" t="s">
        <v>64</v>
      </c>
      <c r="M32" s="27"/>
      <c r="N32" s="29"/>
      <c r="O32" s="29"/>
    </row>
    <row r="33" ht="26.25" hidden="1" customHeight="1">
      <c r="A33" s="42" t="s">
        <v>50</v>
      </c>
      <c r="B33" s="43">
        <v>46136.0</v>
      </c>
      <c r="C33" s="44" t="s">
        <v>17</v>
      </c>
      <c r="D33" s="42" t="s">
        <v>65</v>
      </c>
      <c r="E33" s="42" t="s">
        <v>24</v>
      </c>
      <c r="F33" s="44" t="s">
        <v>56</v>
      </c>
      <c r="G33" s="45" t="s">
        <v>66</v>
      </c>
      <c r="H33" s="44" t="s">
        <v>67</v>
      </c>
      <c r="I33" s="44"/>
      <c r="J33" s="42"/>
      <c r="K33" s="42"/>
      <c r="L33" s="44" t="s">
        <v>68</v>
      </c>
      <c r="M33" s="18" t="s">
        <v>69</v>
      </c>
      <c r="N33" s="42"/>
      <c r="O33" s="42"/>
    </row>
    <row r="34" ht="26.25" hidden="1" customHeight="1">
      <c r="A34" s="42" t="s">
        <v>50</v>
      </c>
      <c r="B34" s="46">
        <v>46137.0</v>
      </c>
      <c r="C34" s="44" t="s">
        <v>17</v>
      </c>
      <c r="D34" s="44" t="s">
        <v>70</v>
      </c>
      <c r="E34" s="42" t="s">
        <v>24</v>
      </c>
      <c r="F34" s="44" t="s">
        <v>56</v>
      </c>
      <c r="G34" s="45" t="s">
        <v>66</v>
      </c>
      <c r="H34" s="44" t="s">
        <v>67</v>
      </c>
      <c r="I34" s="44"/>
      <c r="J34" s="42"/>
      <c r="K34" s="42"/>
      <c r="L34" s="44" t="s">
        <v>68</v>
      </c>
      <c r="M34" s="18" t="s">
        <v>69</v>
      </c>
      <c r="N34" s="42"/>
      <c r="O34" s="42"/>
    </row>
    <row r="35" ht="26.25" hidden="1" customHeight="1">
      <c r="A35" s="16" t="s">
        <v>22</v>
      </c>
      <c r="B35" s="17">
        <v>46137.0</v>
      </c>
      <c r="C35" s="18" t="s">
        <v>17</v>
      </c>
      <c r="D35" s="36" t="s">
        <v>71</v>
      </c>
      <c r="E35" s="22" t="s">
        <v>44</v>
      </c>
      <c r="F35" s="23">
        <v>46136.0</v>
      </c>
      <c r="G35" s="24">
        <v>900.0</v>
      </c>
      <c r="H35" s="19"/>
      <c r="I35" s="19"/>
      <c r="J35" s="19" t="s">
        <v>72</v>
      </c>
      <c r="K35" s="18" t="s">
        <v>73</v>
      </c>
      <c r="L35" s="18" t="s">
        <v>74</v>
      </c>
      <c r="M35" s="18" t="s">
        <v>69</v>
      </c>
      <c r="N35" s="22"/>
      <c r="O35" s="22"/>
    </row>
    <row r="36" ht="26.25" hidden="1" customHeight="1">
      <c r="A36" s="16" t="s">
        <v>22</v>
      </c>
      <c r="B36" s="17">
        <v>46137.0</v>
      </c>
      <c r="C36" s="18" t="s">
        <v>17</v>
      </c>
      <c r="D36" s="36" t="s">
        <v>71</v>
      </c>
      <c r="E36" s="22" t="s">
        <v>44</v>
      </c>
      <c r="F36" s="23">
        <v>46146.0</v>
      </c>
      <c r="G36" s="37">
        <v>10270.0</v>
      </c>
      <c r="H36" s="21">
        <v>2000.0</v>
      </c>
      <c r="I36" s="21"/>
      <c r="J36" s="19" t="s">
        <v>72</v>
      </c>
      <c r="K36" s="18" t="s">
        <v>73</v>
      </c>
      <c r="L36" s="19" t="s">
        <v>49</v>
      </c>
      <c r="M36" s="18" t="s">
        <v>69</v>
      </c>
      <c r="N36" s="22"/>
      <c r="O36" s="22"/>
    </row>
    <row r="37" ht="26.25" hidden="1" customHeight="1">
      <c r="A37" s="16" t="s">
        <v>22</v>
      </c>
      <c r="B37" s="17">
        <v>46137.0</v>
      </c>
      <c r="C37" s="18" t="s">
        <v>17</v>
      </c>
      <c r="D37" s="36" t="s">
        <v>71</v>
      </c>
      <c r="E37" s="22" t="s">
        <v>44</v>
      </c>
      <c r="F37" s="23">
        <v>46142.0</v>
      </c>
      <c r="G37" s="37">
        <v>3500.0</v>
      </c>
      <c r="H37" s="38"/>
      <c r="I37" s="38"/>
      <c r="J37" s="19" t="s">
        <v>72</v>
      </c>
      <c r="K37" s="18" t="s">
        <v>73</v>
      </c>
      <c r="L37" s="19" t="s">
        <v>75</v>
      </c>
      <c r="M37" s="18" t="s">
        <v>69</v>
      </c>
      <c r="N37" s="22"/>
      <c r="O37" s="22"/>
    </row>
    <row r="38" ht="26.25" hidden="1" customHeight="1">
      <c r="A38" s="25" t="s">
        <v>22</v>
      </c>
      <c r="B38" s="26">
        <v>46137.0</v>
      </c>
      <c r="C38" s="27" t="s">
        <v>17</v>
      </c>
      <c r="D38" s="40" t="s">
        <v>71</v>
      </c>
      <c r="E38" s="29" t="s">
        <v>44</v>
      </c>
      <c r="F38" s="30">
        <v>46136.0</v>
      </c>
      <c r="G38" s="47">
        <v>-900.0</v>
      </c>
      <c r="H38" s="28"/>
      <c r="I38" s="28"/>
      <c r="J38" s="28" t="s">
        <v>31</v>
      </c>
      <c r="K38" s="27"/>
      <c r="L38" s="27" t="s">
        <v>76</v>
      </c>
      <c r="M38" s="27" t="s">
        <v>69</v>
      </c>
      <c r="N38" s="29"/>
      <c r="O38" s="29"/>
    </row>
    <row r="39" ht="26.25" hidden="1" customHeight="1">
      <c r="A39" s="25" t="s">
        <v>22</v>
      </c>
      <c r="B39" s="26">
        <v>46137.0</v>
      </c>
      <c r="C39" s="27" t="s">
        <v>17</v>
      </c>
      <c r="D39" s="40" t="s">
        <v>71</v>
      </c>
      <c r="E39" s="29" t="s">
        <v>44</v>
      </c>
      <c r="F39" s="30">
        <v>46136.0</v>
      </c>
      <c r="G39" s="47">
        <v>-500.0</v>
      </c>
      <c r="H39" s="28"/>
      <c r="I39" s="28"/>
      <c r="J39" s="28" t="s">
        <v>31</v>
      </c>
      <c r="K39" s="27"/>
      <c r="L39" s="27" t="s">
        <v>32</v>
      </c>
      <c r="M39" s="27" t="s">
        <v>69</v>
      </c>
      <c r="N39" s="29"/>
      <c r="O39" s="29"/>
    </row>
    <row r="40" ht="26.25" hidden="1" customHeight="1">
      <c r="A40" s="25" t="s">
        <v>22</v>
      </c>
      <c r="B40" s="26">
        <v>46137.0</v>
      </c>
      <c r="C40" s="27" t="s">
        <v>17</v>
      </c>
      <c r="D40" s="40" t="s">
        <v>71</v>
      </c>
      <c r="E40" s="29" t="s">
        <v>44</v>
      </c>
      <c r="F40" s="30">
        <v>46136.0</v>
      </c>
      <c r="G40" s="47">
        <v>-1100.0</v>
      </c>
      <c r="H40" s="28"/>
      <c r="I40" s="28"/>
      <c r="J40" s="28" t="s">
        <v>31</v>
      </c>
      <c r="K40" s="27"/>
      <c r="L40" s="27" t="s">
        <v>27</v>
      </c>
      <c r="M40" s="27" t="s">
        <v>69</v>
      </c>
      <c r="N40" s="29"/>
      <c r="O40" s="29"/>
    </row>
    <row r="41" ht="26.25" hidden="1" customHeight="1">
      <c r="A41" s="16" t="s">
        <v>77</v>
      </c>
      <c r="B41" s="17">
        <v>46138.0</v>
      </c>
      <c r="C41" s="18" t="s">
        <v>17</v>
      </c>
      <c r="D41" s="19" t="s">
        <v>78</v>
      </c>
      <c r="E41" s="22" t="s">
        <v>44</v>
      </c>
      <c r="F41" s="23">
        <v>46148.0</v>
      </c>
      <c r="G41" s="48">
        <f t="shared" ref="G41:G42" si="1">1000*4.8303007812</f>
        <v>4830.300781</v>
      </c>
      <c r="H41" s="21">
        <v>1000.0</v>
      </c>
      <c r="I41" s="21"/>
      <c r="J41" s="19" t="s">
        <v>79</v>
      </c>
      <c r="K41" s="22"/>
      <c r="L41" s="18" t="s">
        <v>80</v>
      </c>
      <c r="M41" s="18" t="s">
        <v>81</v>
      </c>
      <c r="N41" s="22"/>
      <c r="O41" s="22"/>
    </row>
    <row r="42" ht="26.25" hidden="1" customHeight="1">
      <c r="A42" s="16" t="s">
        <v>77</v>
      </c>
      <c r="B42" s="17">
        <v>46138.0</v>
      </c>
      <c r="C42" s="18" t="s">
        <v>17</v>
      </c>
      <c r="D42" s="19" t="s">
        <v>78</v>
      </c>
      <c r="E42" s="22" t="s">
        <v>44</v>
      </c>
      <c r="F42" s="23">
        <v>46148.0</v>
      </c>
      <c r="G42" s="48">
        <f t="shared" si="1"/>
        <v>4830.300781</v>
      </c>
      <c r="H42" s="21">
        <v>1000.0</v>
      </c>
      <c r="I42" s="21"/>
      <c r="J42" s="19" t="s">
        <v>79</v>
      </c>
      <c r="K42" s="22"/>
      <c r="L42" s="18" t="s">
        <v>80</v>
      </c>
      <c r="M42" s="18" t="s">
        <v>81</v>
      </c>
      <c r="N42" s="22"/>
      <c r="O42" s="22"/>
    </row>
    <row r="43" ht="26.25" hidden="1" customHeight="1">
      <c r="A43" s="16" t="s">
        <v>77</v>
      </c>
      <c r="B43" s="17">
        <v>46138.0</v>
      </c>
      <c r="C43" s="18" t="s">
        <v>17</v>
      </c>
      <c r="D43" s="19" t="s">
        <v>78</v>
      </c>
      <c r="E43" s="22" t="s">
        <v>44</v>
      </c>
      <c r="F43" s="23">
        <v>46148.0</v>
      </c>
      <c r="G43" s="48">
        <f>500*4.830300781</f>
        <v>2415.150391</v>
      </c>
      <c r="H43" s="21">
        <v>500.0</v>
      </c>
      <c r="I43" s="21"/>
      <c r="J43" s="19" t="s">
        <v>79</v>
      </c>
      <c r="K43" s="22"/>
      <c r="L43" s="18" t="s">
        <v>80</v>
      </c>
      <c r="M43" s="18" t="s">
        <v>81</v>
      </c>
      <c r="N43" s="22"/>
      <c r="O43" s="22"/>
    </row>
    <row r="44" ht="26.25" hidden="1" customHeight="1">
      <c r="A44" s="16" t="s">
        <v>77</v>
      </c>
      <c r="B44" s="17">
        <v>46138.0</v>
      </c>
      <c r="C44" s="18" t="s">
        <v>17</v>
      </c>
      <c r="D44" s="19" t="s">
        <v>78</v>
      </c>
      <c r="E44" s="22" t="s">
        <v>44</v>
      </c>
      <c r="F44" s="23">
        <v>46148.0</v>
      </c>
      <c r="G44" s="48">
        <f>60*4.830300781</f>
        <v>289.8180469</v>
      </c>
      <c r="H44" s="21">
        <v>60.0</v>
      </c>
      <c r="I44" s="21"/>
      <c r="J44" s="19" t="s">
        <v>79</v>
      </c>
      <c r="K44" s="22"/>
      <c r="L44" s="18" t="s">
        <v>27</v>
      </c>
      <c r="M44" s="18" t="s">
        <v>81</v>
      </c>
      <c r="N44" s="22"/>
      <c r="O44" s="22"/>
    </row>
    <row r="45" ht="26.25" hidden="1" customHeight="1">
      <c r="A45" s="25" t="s">
        <v>77</v>
      </c>
      <c r="B45" s="26">
        <v>46138.0</v>
      </c>
      <c r="C45" s="27" t="s">
        <v>17</v>
      </c>
      <c r="D45" s="28" t="s">
        <v>78</v>
      </c>
      <c r="E45" s="29" t="s">
        <v>44</v>
      </c>
      <c r="F45" s="30">
        <v>46148.0</v>
      </c>
      <c r="G45" s="47">
        <v>-135.0</v>
      </c>
      <c r="H45" s="28"/>
      <c r="I45" s="28"/>
      <c r="J45" s="28" t="s">
        <v>36</v>
      </c>
      <c r="K45" s="29"/>
      <c r="L45" s="27" t="s">
        <v>82</v>
      </c>
      <c r="M45" s="27" t="s">
        <v>81</v>
      </c>
      <c r="N45" s="29"/>
      <c r="O45" s="29"/>
    </row>
    <row r="46" ht="26.25" hidden="1" customHeight="1">
      <c r="A46" s="25" t="s">
        <v>77</v>
      </c>
      <c r="B46" s="26">
        <v>46138.0</v>
      </c>
      <c r="C46" s="27" t="s">
        <v>17</v>
      </c>
      <c r="D46" s="28" t="s">
        <v>78</v>
      </c>
      <c r="E46" s="29" t="s">
        <v>44</v>
      </c>
      <c r="F46" s="30">
        <v>46148.0</v>
      </c>
      <c r="G46" s="49">
        <v>-289.82</v>
      </c>
      <c r="H46" s="41">
        <v>60.0</v>
      </c>
      <c r="I46" s="41"/>
      <c r="J46" s="28" t="s">
        <v>77</v>
      </c>
      <c r="K46" s="29"/>
      <c r="L46" s="27" t="s">
        <v>83</v>
      </c>
      <c r="M46" s="27" t="s">
        <v>81</v>
      </c>
      <c r="N46" s="29"/>
      <c r="O46" s="29"/>
    </row>
    <row r="47" ht="26.25" hidden="1" customHeight="1">
      <c r="A47" s="25" t="s">
        <v>77</v>
      </c>
      <c r="B47" s="26">
        <v>46138.0</v>
      </c>
      <c r="C47" s="27" t="s">
        <v>17</v>
      </c>
      <c r="D47" s="28" t="s">
        <v>78</v>
      </c>
      <c r="E47" s="29" t="s">
        <v>44</v>
      </c>
      <c r="F47" s="30">
        <v>46148.0</v>
      </c>
      <c r="G47" s="47">
        <v>-7253.56</v>
      </c>
      <c r="H47" s="28"/>
      <c r="I47" s="28"/>
      <c r="J47" s="28" t="s">
        <v>77</v>
      </c>
      <c r="K47" s="29"/>
      <c r="L47" s="27" t="s">
        <v>84</v>
      </c>
      <c r="M47" s="27" t="s">
        <v>81</v>
      </c>
      <c r="N47" s="29"/>
      <c r="O47" s="29"/>
    </row>
    <row r="48" ht="26.25" hidden="1" customHeight="1">
      <c r="A48" s="25" t="s">
        <v>77</v>
      </c>
      <c r="B48" s="26">
        <v>46138.0</v>
      </c>
      <c r="C48" s="27" t="s">
        <v>17</v>
      </c>
      <c r="D48" s="28" t="s">
        <v>78</v>
      </c>
      <c r="E48" s="29" t="s">
        <v>44</v>
      </c>
      <c r="F48" s="30">
        <v>46150.0</v>
      </c>
      <c r="G48" s="31">
        <v>-3407.15</v>
      </c>
      <c r="H48" s="28"/>
      <c r="I48" s="28"/>
      <c r="J48" s="28" t="s">
        <v>85</v>
      </c>
      <c r="K48" s="29"/>
      <c r="L48" s="27" t="s">
        <v>86</v>
      </c>
      <c r="M48" s="27" t="s">
        <v>81</v>
      </c>
      <c r="N48" s="29"/>
      <c r="O48" s="29"/>
    </row>
    <row r="49" ht="26.25" hidden="1" customHeight="1">
      <c r="A49" s="50" t="s">
        <v>87</v>
      </c>
      <c r="B49" s="17">
        <v>46142.0</v>
      </c>
      <c r="C49" s="18" t="s">
        <v>17</v>
      </c>
      <c r="D49" s="36" t="s">
        <v>88</v>
      </c>
      <c r="E49" s="22" t="s">
        <v>24</v>
      </c>
      <c r="F49" s="51">
        <v>46146.0</v>
      </c>
      <c r="G49" s="52">
        <v>2100.0</v>
      </c>
      <c r="H49" s="18"/>
      <c r="I49" s="18"/>
      <c r="J49" s="36" t="s">
        <v>88</v>
      </c>
      <c r="K49" s="22"/>
      <c r="L49" s="18" t="s">
        <v>89</v>
      </c>
      <c r="M49" s="18" t="s">
        <v>90</v>
      </c>
      <c r="N49" s="22"/>
      <c r="O49" s="22"/>
    </row>
    <row r="50" ht="26.25" hidden="1" customHeight="1">
      <c r="A50" s="53" t="s">
        <v>87</v>
      </c>
      <c r="B50" s="54">
        <v>46142.0</v>
      </c>
      <c r="C50" s="19" t="s">
        <v>17</v>
      </c>
      <c r="D50" s="36" t="s">
        <v>88</v>
      </c>
      <c r="E50" s="36" t="s">
        <v>24</v>
      </c>
      <c r="F50" s="51">
        <v>46146.0</v>
      </c>
      <c r="G50" s="52">
        <v>3060.0</v>
      </c>
      <c r="H50" s="19"/>
      <c r="I50" s="19"/>
      <c r="J50" s="36" t="s">
        <v>88</v>
      </c>
      <c r="K50" s="36"/>
      <c r="L50" s="19" t="s">
        <v>91</v>
      </c>
      <c r="M50" s="19" t="s">
        <v>90</v>
      </c>
      <c r="N50" s="36"/>
      <c r="O50" s="36"/>
    </row>
    <row r="51" ht="26.25" hidden="1" customHeight="1">
      <c r="A51" s="39" t="s">
        <v>87</v>
      </c>
      <c r="B51" s="55">
        <v>46142.0</v>
      </c>
      <c r="C51" s="27" t="s">
        <v>17</v>
      </c>
      <c r="D51" s="28" t="s">
        <v>88</v>
      </c>
      <c r="E51" s="28" t="s">
        <v>24</v>
      </c>
      <c r="F51" s="56">
        <v>46142.0</v>
      </c>
      <c r="G51" s="57">
        <v>-500.0</v>
      </c>
      <c r="H51" s="28"/>
      <c r="I51" s="28"/>
      <c r="J51" s="28" t="s">
        <v>88</v>
      </c>
      <c r="K51" s="40"/>
      <c r="L51" s="27" t="s">
        <v>32</v>
      </c>
      <c r="M51" s="28" t="s">
        <v>90</v>
      </c>
      <c r="N51" s="40"/>
      <c r="O51" s="40"/>
    </row>
    <row r="52" ht="26.25" hidden="1" customHeight="1">
      <c r="A52" s="39" t="s">
        <v>87</v>
      </c>
      <c r="B52" s="55">
        <v>46142.0</v>
      </c>
      <c r="C52" s="27" t="s">
        <v>17</v>
      </c>
      <c r="D52" s="28" t="s">
        <v>88</v>
      </c>
      <c r="E52" s="28" t="s">
        <v>24</v>
      </c>
      <c r="F52" s="56">
        <v>46142.0</v>
      </c>
      <c r="G52" s="57">
        <v>-108.98</v>
      </c>
      <c r="H52" s="28"/>
      <c r="I52" s="28"/>
      <c r="J52" s="28" t="s">
        <v>88</v>
      </c>
      <c r="K52" s="40"/>
      <c r="L52" s="27" t="s">
        <v>92</v>
      </c>
      <c r="M52" s="28" t="s">
        <v>90</v>
      </c>
      <c r="N52" s="40"/>
      <c r="O52" s="40"/>
    </row>
    <row r="53" ht="26.25" hidden="1" customHeight="1">
      <c r="A53" s="39" t="s">
        <v>87</v>
      </c>
      <c r="B53" s="55">
        <v>46142.0</v>
      </c>
      <c r="C53" s="27" t="s">
        <v>17</v>
      </c>
      <c r="D53" s="28" t="s">
        <v>88</v>
      </c>
      <c r="E53" s="28" t="s">
        <v>24</v>
      </c>
      <c r="F53" s="56">
        <v>46142.0</v>
      </c>
      <c r="G53" s="57">
        <v>-600.0</v>
      </c>
      <c r="H53" s="28"/>
      <c r="I53" s="28"/>
      <c r="J53" s="28" t="s">
        <v>88</v>
      </c>
      <c r="K53" s="40"/>
      <c r="L53" s="27" t="s">
        <v>27</v>
      </c>
      <c r="M53" s="28" t="s">
        <v>90</v>
      </c>
      <c r="N53" s="40"/>
      <c r="O53" s="40"/>
    </row>
    <row r="54" ht="26.25" hidden="1" customHeight="1">
      <c r="A54" s="39" t="s">
        <v>87</v>
      </c>
      <c r="B54" s="55">
        <v>46142.0</v>
      </c>
      <c r="C54" s="27" t="s">
        <v>17</v>
      </c>
      <c r="D54" s="28" t="s">
        <v>88</v>
      </c>
      <c r="E54" s="28" t="s">
        <v>24</v>
      </c>
      <c r="F54" s="56">
        <v>46149.0</v>
      </c>
      <c r="G54" s="57">
        <v>-1000.0</v>
      </c>
      <c r="H54" s="28"/>
      <c r="I54" s="28"/>
      <c r="J54" s="28" t="s">
        <v>93</v>
      </c>
      <c r="K54" s="40"/>
      <c r="L54" s="27" t="s">
        <v>94</v>
      </c>
      <c r="M54" s="28" t="s">
        <v>90</v>
      </c>
      <c r="N54" s="40"/>
      <c r="O54" s="40"/>
    </row>
    <row r="55" ht="26.25" hidden="1" customHeight="1">
      <c r="A55" s="39" t="s">
        <v>87</v>
      </c>
      <c r="B55" s="55">
        <v>46142.0</v>
      </c>
      <c r="C55" s="27" t="s">
        <v>17</v>
      </c>
      <c r="D55" s="28" t="s">
        <v>88</v>
      </c>
      <c r="E55" s="28" t="s">
        <v>24</v>
      </c>
      <c r="F55" s="56">
        <v>46160.0</v>
      </c>
      <c r="G55" s="57">
        <v>-615.96</v>
      </c>
      <c r="H55" s="28"/>
      <c r="I55" s="28"/>
      <c r="J55" s="27" t="s">
        <v>95</v>
      </c>
      <c r="K55" s="27" t="s">
        <v>96</v>
      </c>
      <c r="L55" s="27" t="s">
        <v>97</v>
      </c>
      <c r="M55" s="28" t="s">
        <v>90</v>
      </c>
      <c r="N55" s="40"/>
      <c r="O55" s="40"/>
    </row>
    <row r="56" ht="26.25" hidden="1" customHeight="1">
      <c r="A56" s="16" t="s">
        <v>98</v>
      </c>
      <c r="B56" s="17">
        <v>46142.0</v>
      </c>
      <c r="C56" s="18" t="s">
        <v>17</v>
      </c>
      <c r="D56" s="19" t="s">
        <v>88</v>
      </c>
      <c r="E56" s="22" t="s">
        <v>24</v>
      </c>
      <c r="F56" s="23">
        <v>46136.0</v>
      </c>
      <c r="G56" s="48">
        <v>26000.0</v>
      </c>
      <c r="H56" s="21"/>
      <c r="I56" s="21"/>
      <c r="J56" s="19" t="s">
        <v>99</v>
      </c>
      <c r="K56" s="22"/>
      <c r="L56" s="18" t="s">
        <v>80</v>
      </c>
      <c r="M56" s="18" t="s">
        <v>100</v>
      </c>
      <c r="N56" s="22"/>
      <c r="O56" s="22"/>
    </row>
    <row r="57" ht="26.25" hidden="1" customHeight="1">
      <c r="A57" s="16" t="s">
        <v>98</v>
      </c>
      <c r="B57" s="17">
        <v>46142.0</v>
      </c>
      <c r="C57" s="18" t="s">
        <v>17</v>
      </c>
      <c r="D57" s="19" t="s">
        <v>99</v>
      </c>
      <c r="E57" s="22" t="s">
        <v>44</v>
      </c>
      <c r="F57" s="23">
        <v>46107.0</v>
      </c>
      <c r="G57" s="48">
        <v>26000.0</v>
      </c>
      <c r="H57" s="21"/>
      <c r="I57" s="21"/>
      <c r="J57" s="19" t="s">
        <v>99</v>
      </c>
      <c r="K57" s="22"/>
      <c r="L57" s="18" t="s">
        <v>80</v>
      </c>
      <c r="M57" s="18" t="s">
        <v>100</v>
      </c>
      <c r="N57" s="22"/>
      <c r="O57" s="22"/>
    </row>
    <row r="58" ht="26.25" hidden="1" customHeight="1">
      <c r="A58" s="16" t="s">
        <v>98</v>
      </c>
      <c r="B58" s="17">
        <v>46142.0</v>
      </c>
      <c r="C58" s="18" t="s">
        <v>17</v>
      </c>
      <c r="D58" s="19" t="s">
        <v>99</v>
      </c>
      <c r="E58" s="22" t="s">
        <v>44</v>
      </c>
      <c r="F58" s="23">
        <v>46141.0</v>
      </c>
      <c r="G58" s="48">
        <v>1789.0</v>
      </c>
      <c r="H58" s="21">
        <v>360.0</v>
      </c>
      <c r="I58" s="21"/>
      <c r="J58" s="19" t="s">
        <v>99</v>
      </c>
      <c r="K58" s="22"/>
      <c r="L58" s="18" t="s">
        <v>27</v>
      </c>
      <c r="M58" s="18" t="s">
        <v>100</v>
      </c>
      <c r="N58" s="22"/>
      <c r="O58" s="22"/>
    </row>
    <row r="59" ht="26.25" hidden="1" customHeight="1">
      <c r="A59" s="16" t="s">
        <v>98</v>
      </c>
      <c r="B59" s="17">
        <v>46142.0</v>
      </c>
      <c r="C59" s="18" t="s">
        <v>17</v>
      </c>
      <c r="D59" s="19" t="s">
        <v>99</v>
      </c>
      <c r="E59" s="22" t="s">
        <v>44</v>
      </c>
      <c r="F59" s="23">
        <v>46071.0</v>
      </c>
      <c r="G59" s="48">
        <v>8000.0</v>
      </c>
      <c r="H59" s="21"/>
      <c r="I59" s="21"/>
      <c r="J59" s="19" t="s">
        <v>99</v>
      </c>
      <c r="K59" s="22"/>
      <c r="L59" s="18" t="s">
        <v>80</v>
      </c>
      <c r="M59" s="18" t="s">
        <v>100</v>
      </c>
      <c r="N59" s="22"/>
      <c r="O59" s="22"/>
    </row>
    <row r="60" ht="26.25" hidden="1" customHeight="1">
      <c r="A60" s="39" t="s">
        <v>98</v>
      </c>
      <c r="B60" s="58">
        <v>46142.0</v>
      </c>
      <c r="C60" s="28" t="s">
        <v>17</v>
      </c>
      <c r="D60" s="28" t="s">
        <v>99</v>
      </c>
      <c r="E60" s="27" t="s">
        <v>44</v>
      </c>
      <c r="F60" s="56">
        <v>46156.0</v>
      </c>
      <c r="G60" s="57">
        <v>-48750.0</v>
      </c>
      <c r="H60" s="59"/>
      <c r="I60" s="59"/>
      <c r="J60" s="28" t="s">
        <v>101</v>
      </c>
      <c r="K60" s="28" t="s">
        <v>102</v>
      </c>
      <c r="L60" s="28" t="s">
        <v>103</v>
      </c>
      <c r="M60" s="28" t="s">
        <v>100</v>
      </c>
      <c r="N60" s="60"/>
      <c r="O60" s="61"/>
    </row>
    <row r="61" ht="26.25" hidden="1" customHeight="1">
      <c r="A61" s="18" t="s">
        <v>104</v>
      </c>
      <c r="B61" s="54">
        <v>46059.0</v>
      </c>
      <c r="C61" s="19" t="s">
        <v>105</v>
      </c>
      <c r="D61" s="19" t="s">
        <v>106</v>
      </c>
      <c r="E61" s="62" t="s">
        <v>44</v>
      </c>
      <c r="F61" s="54"/>
      <c r="G61" s="63">
        <v>21455.0</v>
      </c>
      <c r="H61" s="19"/>
      <c r="I61" s="19"/>
      <c r="J61" s="19" t="s">
        <v>106</v>
      </c>
      <c r="K61" s="19" t="s">
        <v>107</v>
      </c>
      <c r="L61" s="19" t="s">
        <v>108</v>
      </c>
      <c r="M61" s="19" t="s">
        <v>109</v>
      </c>
      <c r="N61" s="64"/>
      <c r="O61" s="65"/>
    </row>
    <row r="62" ht="26.25" hidden="1" customHeight="1">
      <c r="A62" s="18" t="s">
        <v>104</v>
      </c>
      <c r="B62" s="54">
        <v>46059.0</v>
      </c>
      <c r="C62" s="19" t="s">
        <v>105</v>
      </c>
      <c r="D62" s="19" t="s">
        <v>106</v>
      </c>
      <c r="E62" s="62" t="s">
        <v>44</v>
      </c>
      <c r="F62" s="54"/>
      <c r="G62" s="37">
        <v>10720.0</v>
      </c>
      <c r="H62" s="66"/>
      <c r="I62" s="66"/>
      <c r="J62" s="19" t="s">
        <v>106</v>
      </c>
      <c r="K62" s="19" t="s">
        <v>107</v>
      </c>
      <c r="L62" s="19" t="s">
        <v>108</v>
      </c>
      <c r="M62" s="19" t="s">
        <v>109</v>
      </c>
      <c r="N62" s="64"/>
      <c r="O62" s="65"/>
    </row>
    <row r="63" ht="26.25" hidden="1" customHeight="1">
      <c r="A63" s="27" t="s">
        <v>110</v>
      </c>
      <c r="B63" s="56">
        <v>46066.0</v>
      </c>
      <c r="C63" s="28" t="s">
        <v>105</v>
      </c>
      <c r="D63" s="28" t="s">
        <v>111</v>
      </c>
      <c r="E63" s="67" t="s">
        <v>24</v>
      </c>
      <c r="F63" s="68"/>
      <c r="G63" s="33">
        <v>-1050.0</v>
      </c>
      <c r="H63" s="28"/>
      <c r="I63" s="28"/>
      <c r="J63" s="28" t="s">
        <v>34</v>
      </c>
      <c r="K63" s="28"/>
      <c r="L63" s="28" t="s">
        <v>35</v>
      </c>
      <c r="M63" s="28" t="s">
        <v>112</v>
      </c>
      <c r="N63" s="60"/>
      <c r="O63" s="61"/>
    </row>
    <row r="64" ht="26.25" hidden="1" customHeight="1">
      <c r="A64" s="18" t="s">
        <v>110</v>
      </c>
      <c r="B64" s="54">
        <v>46067.0</v>
      </c>
      <c r="C64" s="19" t="s">
        <v>105</v>
      </c>
      <c r="D64" s="19" t="s">
        <v>113</v>
      </c>
      <c r="E64" s="62" t="s">
        <v>24</v>
      </c>
      <c r="F64" s="54"/>
      <c r="G64" s="52">
        <v>9027.0</v>
      </c>
      <c r="H64" s="19"/>
      <c r="I64" s="19"/>
      <c r="J64" s="19" t="s">
        <v>114</v>
      </c>
      <c r="K64" s="19" t="s">
        <v>115</v>
      </c>
      <c r="L64" s="19" t="s">
        <v>116</v>
      </c>
      <c r="M64" s="19" t="s">
        <v>117</v>
      </c>
      <c r="N64" s="64"/>
      <c r="O64" s="65"/>
    </row>
    <row r="65" ht="26.25" hidden="1" customHeight="1">
      <c r="A65" s="27" t="s">
        <v>110</v>
      </c>
      <c r="B65" s="68">
        <v>46068.0</v>
      </c>
      <c r="C65" s="28" t="s">
        <v>105</v>
      </c>
      <c r="D65" s="28" t="s">
        <v>118</v>
      </c>
      <c r="E65" s="67" t="s">
        <v>24</v>
      </c>
      <c r="F65" s="28" t="s">
        <v>119</v>
      </c>
      <c r="G65" s="57"/>
      <c r="H65" s="41">
        <v>-4800.0</v>
      </c>
      <c r="I65" s="28"/>
      <c r="J65" s="28" t="s">
        <v>120</v>
      </c>
      <c r="K65" s="28"/>
      <c r="L65" s="28" t="s">
        <v>121</v>
      </c>
      <c r="M65" s="28" t="s">
        <v>122</v>
      </c>
      <c r="N65" s="60"/>
      <c r="O65" s="61"/>
    </row>
    <row r="66" ht="26.25" hidden="1" customHeight="1">
      <c r="A66" s="18" t="s">
        <v>110</v>
      </c>
      <c r="B66" s="54">
        <v>46068.0</v>
      </c>
      <c r="C66" s="19" t="s">
        <v>105</v>
      </c>
      <c r="D66" s="19" t="s">
        <v>118</v>
      </c>
      <c r="E66" s="62" t="s">
        <v>24</v>
      </c>
      <c r="F66" s="69">
        <v>46141.0</v>
      </c>
      <c r="G66" s="52">
        <v>10000.0</v>
      </c>
      <c r="H66" s="19"/>
      <c r="I66" s="19"/>
      <c r="J66" s="19" t="s">
        <v>118</v>
      </c>
      <c r="K66" s="19"/>
      <c r="L66" s="19" t="s">
        <v>80</v>
      </c>
      <c r="M66" s="19" t="s">
        <v>122</v>
      </c>
      <c r="N66" s="64"/>
      <c r="O66" s="65"/>
    </row>
    <row r="67" ht="26.25" hidden="1" customHeight="1">
      <c r="A67" s="18" t="s">
        <v>110</v>
      </c>
      <c r="B67" s="54">
        <v>46068.0</v>
      </c>
      <c r="C67" s="19" t="s">
        <v>105</v>
      </c>
      <c r="D67" s="19" t="s">
        <v>118</v>
      </c>
      <c r="E67" s="62" t="s">
        <v>24</v>
      </c>
      <c r="F67" s="51">
        <v>46068.0</v>
      </c>
      <c r="G67" s="52">
        <v>24000.0</v>
      </c>
      <c r="H67" s="66"/>
      <c r="I67" s="66"/>
      <c r="J67" s="19" t="s">
        <v>118</v>
      </c>
      <c r="K67" s="64"/>
      <c r="L67" s="19" t="s">
        <v>123</v>
      </c>
      <c r="M67" s="19" t="s">
        <v>122</v>
      </c>
      <c r="N67" s="64"/>
      <c r="O67" s="65"/>
    </row>
    <row r="68" ht="26.25" hidden="1" customHeight="1">
      <c r="A68" s="18" t="s">
        <v>110</v>
      </c>
      <c r="B68" s="54">
        <v>46068.0</v>
      </c>
      <c r="C68" s="19" t="s">
        <v>105</v>
      </c>
      <c r="D68" s="19" t="s">
        <v>118</v>
      </c>
      <c r="E68" s="62" t="s">
        <v>24</v>
      </c>
      <c r="F68" s="51">
        <v>46156.0</v>
      </c>
      <c r="G68" s="52">
        <v>7700.0</v>
      </c>
      <c r="H68" s="66"/>
      <c r="I68" s="66"/>
      <c r="J68" s="19" t="s">
        <v>118</v>
      </c>
      <c r="K68" s="64"/>
      <c r="L68" s="19" t="s">
        <v>123</v>
      </c>
      <c r="M68" s="19" t="s">
        <v>122</v>
      </c>
      <c r="N68" s="64"/>
      <c r="O68" s="65"/>
    </row>
    <row r="69" ht="26.25" hidden="1" customHeight="1">
      <c r="A69" s="18" t="s">
        <v>124</v>
      </c>
      <c r="B69" s="54">
        <v>46068.0</v>
      </c>
      <c r="C69" s="19" t="s">
        <v>105</v>
      </c>
      <c r="D69" s="19" t="s">
        <v>125</v>
      </c>
      <c r="E69" s="62" t="s">
        <v>24</v>
      </c>
      <c r="F69" s="51">
        <v>46068.0</v>
      </c>
      <c r="G69" s="52">
        <v>3500.0</v>
      </c>
      <c r="H69" s="19"/>
      <c r="I69" s="19"/>
      <c r="J69" s="19" t="s">
        <v>126</v>
      </c>
      <c r="K69" s="19" t="s">
        <v>127</v>
      </c>
      <c r="L69" s="19" t="s">
        <v>128</v>
      </c>
      <c r="M69" s="19" t="s">
        <v>129</v>
      </c>
      <c r="N69" s="64"/>
      <c r="O69" s="65"/>
    </row>
    <row r="70" ht="26.25" hidden="1" customHeight="1">
      <c r="A70" s="18" t="s">
        <v>124</v>
      </c>
      <c r="B70" s="54">
        <v>46068.0</v>
      </c>
      <c r="C70" s="19" t="s">
        <v>105</v>
      </c>
      <c r="D70" s="19" t="s">
        <v>125</v>
      </c>
      <c r="E70" s="62" t="s">
        <v>24</v>
      </c>
      <c r="F70" s="51">
        <v>46068.0</v>
      </c>
      <c r="G70" s="52">
        <v>1650.0</v>
      </c>
      <c r="H70" s="19"/>
      <c r="I70" s="19"/>
      <c r="J70" s="19" t="s">
        <v>126</v>
      </c>
      <c r="K70" s="19" t="s">
        <v>127</v>
      </c>
      <c r="L70" s="19" t="s">
        <v>130</v>
      </c>
      <c r="M70" s="19" t="s">
        <v>129</v>
      </c>
      <c r="N70" s="64"/>
      <c r="O70" s="65"/>
    </row>
    <row r="71" ht="26.25" hidden="1" customHeight="1">
      <c r="A71" s="18" t="s">
        <v>124</v>
      </c>
      <c r="B71" s="54">
        <v>46068.0</v>
      </c>
      <c r="C71" s="19" t="s">
        <v>105</v>
      </c>
      <c r="D71" s="19" t="s">
        <v>125</v>
      </c>
      <c r="E71" s="62" t="s">
        <v>24</v>
      </c>
      <c r="F71" s="51">
        <v>46068.0</v>
      </c>
      <c r="G71" s="52">
        <v>43620.0</v>
      </c>
      <c r="H71" s="66"/>
      <c r="I71" s="66"/>
      <c r="J71" s="19" t="s">
        <v>126</v>
      </c>
      <c r="K71" s="19" t="s">
        <v>127</v>
      </c>
      <c r="L71" s="19" t="s">
        <v>131</v>
      </c>
      <c r="M71" s="19" t="s">
        <v>129</v>
      </c>
      <c r="N71" s="64"/>
      <c r="O71" s="65"/>
    </row>
    <row r="72" ht="26.25" hidden="1" customHeight="1">
      <c r="A72" s="18" t="s">
        <v>124</v>
      </c>
      <c r="B72" s="54">
        <v>46068.0</v>
      </c>
      <c r="C72" s="19" t="s">
        <v>105</v>
      </c>
      <c r="D72" s="19" t="s">
        <v>125</v>
      </c>
      <c r="E72" s="62" t="s">
        <v>24</v>
      </c>
      <c r="F72" s="51">
        <v>46068.0</v>
      </c>
      <c r="G72" s="52">
        <v>10000.0</v>
      </c>
      <c r="H72" s="66"/>
      <c r="I72" s="66"/>
      <c r="J72" s="19" t="s">
        <v>132</v>
      </c>
      <c r="K72" s="64"/>
      <c r="L72" s="19" t="s">
        <v>131</v>
      </c>
      <c r="M72" s="19" t="s">
        <v>129</v>
      </c>
      <c r="N72" s="64"/>
      <c r="O72" s="65"/>
    </row>
    <row r="73" ht="26.25" hidden="1" customHeight="1">
      <c r="A73" s="27" t="s">
        <v>124</v>
      </c>
      <c r="B73" s="68">
        <v>46068.0</v>
      </c>
      <c r="C73" s="28" t="s">
        <v>105</v>
      </c>
      <c r="D73" s="28" t="s">
        <v>125</v>
      </c>
      <c r="E73" s="67" t="s">
        <v>24</v>
      </c>
      <c r="F73" s="56"/>
      <c r="G73" s="57">
        <v>-1050.0</v>
      </c>
      <c r="H73" s="59"/>
      <c r="I73" s="59"/>
      <c r="J73" s="28" t="s">
        <v>133</v>
      </c>
      <c r="K73" s="60"/>
      <c r="L73" s="28" t="s">
        <v>35</v>
      </c>
      <c r="M73" s="28" t="s">
        <v>129</v>
      </c>
      <c r="N73" s="60"/>
      <c r="O73" s="61"/>
    </row>
    <row r="74" ht="26.25" hidden="1" customHeight="1">
      <c r="A74" s="27" t="s">
        <v>124</v>
      </c>
      <c r="B74" s="68">
        <v>46068.0</v>
      </c>
      <c r="C74" s="28" t="s">
        <v>105</v>
      </c>
      <c r="D74" s="28" t="s">
        <v>125</v>
      </c>
      <c r="E74" s="67" t="s">
        <v>24</v>
      </c>
      <c r="F74" s="56"/>
      <c r="G74" s="57">
        <v>-1365.04</v>
      </c>
      <c r="H74" s="59"/>
      <c r="I74" s="59"/>
      <c r="J74" s="28" t="s">
        <v>134</v>
      </c>
      <c r="K74" s="60"/>
      <c r="L74" s="28" t="s">
        <v>135</v>
      </c>
      <c r="M74" s="28" t="s">
        <v>129</v>
      </c>
      <c r="N74" s="60"/>
      <c r="O74" s="61"/>
    </row>
    <row r="75" ht="26.25" hidden="1" customHeight="1">
      <c r="A75" s="18" t="s">
        <v>136</v>
      </c>
      <c r="B75" s="54">
        <v>46069.0</v>
      </c>
      <c r="C75" s="19" t="s">
        <v>105</v>
      </c>
      <c r="D75" s="19" t="s">
        <v>137</v>
      </c>
      <c r="E75" s="62" t="s">
        <v>24</v>
      </c>
      <c r="F75" s="51">
        <v>46073.0</v>
      </c>
      <c r="G75" s="37">
        <v>24275.0</v>
      </c>
      <c r="H75" s="19"/>
      <c r="I75" s="19"/>
      <c r="J75" s="19" t="s">
        <v>138</v>
      </c>
      <c r="K75" s="19" t="s">
        <v>139</v>
      </c>
      <c r="L75" s="19" t="s">
        <v>116</v>
      </c>
      <c r="M75" s="19" t="s">
        <v>140</v>
      </c>
      <c r="N75" s="64"/>
      <c r="O75" s="70"/>
    </row>
    <row r="76" ht="26.25" hidden="1" customHeight="1">
      <c r="A76" s="27" t="s">
        <v>136</v>
      </c>
      <c r="B76" s="68">
        <v>46069.0</v>
      </c>
      <c r="C76" s="28" t="s">
        <v>105</v>
      </c>
      <c r="D76" s="28" t="s">
        <v>137</v>
      </c>
      <c r="E76" s="67" t="s">
        <v>24</v>
      </c>
      <c r="F76" s="68"/>
      <c r="G76" s="33">
        <v>-1050.0</v>
      </c>
      <c r="H76" s="59"/>
      <c r="I76" s="59"/>
      <c r="J76" s="28" t="s">
        <v>34</v>
      </c>
      <c r="K76" s="28"/>
      <c r="L76" s="28" t="s">
        <v>35</v>
      </c>
      <c r="M76" s="28" t="s">
        <v>140</v>
      </c>
      <c r="N76" s="60"/>
      <c r="O76" s="71"/>
    </row>
    <row r="77" ht="26.25" hidden="1" customHeight="1">
      <c r="A77" s="18" t="s">
        <v>136</v>
      </c>
      <c r="B77" s="54">
        <v>46069.0</v>
      </c>
      <c r="C77" s="19" t="s">
        <v>105</v>
      </c>
      <c r="D77" s="19" t="s">
        <v>141</v>
      </c>
      <c r="E77" s="62" t="s">
        <v>24</v>
      </c>
      <c r="F77" s="69">
        <v>46080.0</v>
      </c>
      <c r="G77" s="52">
        <v>24275.0</v>
      </c>
      <c r="H77" s="19"/>
      <c r="I77" s="19"/>
      <c r="J77" s="19" t="s">
        <v>142</v>
      </c>
      <c r="K77" s="19" t="s">
        <v>143</v>
      </c>
      <c r="L77" s="19" t="s">
        <v>116</v>
      </c>
      <c r="M77" s="19" t="s">
        <v>144</v>
      </c>
      <c r="N77" s="64"/>
      <c r="O77" s="70"/>
    </row>
    <row r="78" ht="26.25" hidden="1" customHeight="1">
      <c r="A78" s="72" t="s">
        <v>145</v>
      </c>
      <c r="B78" s="73">
        <v>46069.0</v>
      </c>
      <c r="C78" s="74" t="s">
        <v>105</v>
      </c>
      <c r="D78" s="75" t="s">
        <v>146</v>
      </c>
      <c r="E78" s="72" t="s">
        <v>24</v>
      </c>
      <c r="F78" s="73"/>
      <c r="G78" s="76"/>
      <c r="H78" s="75" t="s">
        <v>147</v>
      </c>
      <c r="I78" s="75"/>
      <c r="J78" s="75" t="s">
        <v>146</v>
      </c>
      <c r="K78" s="77"/>
      <c r="L78" s="77"/>
      <c r="M78" s="74" t="s">
        <v>148</v>
      </c>
      <c r="N78" s="77"/>
      <c r="O78" s="78"/>
    </row>
    <row r="79" ht="26.25" hidden="1" customHeight="1">
      <c r="A79" s="77"/>
      <c r="B79" s="73">
        <v>46069.0</v>
      </c>
      <c r="C79" s="74" t="s">
        <v>105</v>
      </c>
      <c r="D79" s="75" t="s">
        <v>146</v>
      </c>
      <c r="E79" s="72" t="s">
        <v>24</v>
      </c>
      <c r="F79" s="73"/>
      <c r="G79" s="74" t="s">
        <v>149</v>
      </c>
      <c r="H79" s="79"/>
      <c r="I79" s="79"/>
      <c r="J79" s="77"/>
      <c r="K79" s="77"/>
      <c r="L79" s="77"/>
      <c r="M79" s="77"/>
      <c r="N79" s="77"/>
      <c r="O79" s="78"/>
    </row>
    <row r="80" ht="26.25" hidden="1" customHeight="1">
      <c r="A80" s="72" t="s">
        <v>150</v>
      </c>
      <c r="B80" s="73">
        <v>46069.0</v>
      </c>
      <c r="C80" s="74" t="s">
        <v>105</v>
      </c>
      <c r="D80" s="75" t="s">
        <v>151</v>
      </c>
      <c r="E80" s="72" t="s">
        <v>24</v>
      </c>
      <c r="F80" s="73"/>
      <c r="G80" s="76"/>
      <c r="H80" s="75" t="s">
        <v>152</v>
      </c>
      <c r="I80" s="75"/>
      <c r="J80" s="75" t="s">
        <v>151</v>
      </c>
      <c r="K80" s="77"/>
      <c r="L80" s="77"/>
      <c r="M80" s="74" t="s">
        <v>153</v>
      </c>
      <c r="N80" s="77"/>
      <c r="O80" s="78"/>
    </row>
    <row r="81" ht="26.25" hidden="1" customHeight="1">
      <c r="A81" s="77"/>
      <c r="B81" s="73">
        <v>46069.0</v>
      </c>
      <c r="C81" s="74" t="s">
        <v>105</v>
      </c>
      <c r="D81" s="72" t="s">
        <v>150</v>
      </c>
      <c r="E81" s="72" t="s">
        <v>24</v>
      </c>
      <c r="F81" s="73"/>
      <c r="G81" s="75" t="s">
        <v>154</v>
      </c>
      <c r="H81" s="79"/>
      <c r="I81" s="79"/>
      <c r="J81" s="77"/>
      <c r="K81" s="77"/>
      <c r="L81" s="77"/>
      <c r="M81" s="77"/>
      <c r="N81" s="77"/>
      <c r="O81" s="78"/>
    </row>
    <row r="82" ht="26.25" hidden="1" customHeight="1">
      <c r="A82" s="72" t="s">
        <v>155</v>
      </c>
      <c r="B82" s="73">
        <v>46073.0</v>
      </c>
      <c r="C82" s="74" t="s">
        <v>105</v>
      </c>
      <c r="D82" s="75" t="s">
        <v>156</v>
      </c>
      <c r="E82" s="72" t="s">
        <v>44</v>
      </c>
      <c r="F82" s="73"/>
      <c r="G82" s="76"/>
      <c r="H82" s="75" t="s">
        <v>157</v>
      </c>
      <c r="I82" s="75"/>
      <c r="J82" s="75" t="s">
        <v>156</v>
      </c>
      <c r="K82" s="77"/>
      <c r="L82" s="77"/>
      <c r="M82" s="74" t="s">
        <v>158</v>
      </c>
      <c r="N82" s="77"/>
      <c r="O82" s="78"/>
    </row>
    <row r="83" ht="26.25" hidden="1" customHeight="1">
      <c r="A83" s="80" t="s">
        <v>159</v>
      </c>
      <c r="B83" s="81">
        <v>46074.0</v>
      </c>
      <c r="C83" s="74" t="s">
        <v>105</v>
      </c>
      <c r="D83" s="75" t="s">
        <v>160</v>
      </c>
      <c r="E83" s="82" t="s">
        <v>19</v>
      </c>
      <c r="F83" s="81"/>
      <c r="G83" s="83"/>
      <c r="H83" s="75" t="s">
        <v>161</v>
      </c>
      <c r="I83" s="75"/>
      <c r="J83" s="75" t="s">
        <v>160</v>
      </c>
      <c r="K83" s="80"/>
      <c r="L83" s="80"/>
      <c r="M83" s="82" t="s">
        <v>162</v>
      </c>
      <c r="N83" s="80"/>
      <c r="O83" s="80"/>
    </row>
    <row r="84" ht="26.25" hidden="1" customHeight="1">
      <c r="A84" s="80" t="s">
        <v>163</v>
      </c>
      <c r="B84" s="81">
        <v>46074.0</v>
      </c>
      <c r="C84" s="74" t="s">
        <v>105</v>
      </c>
      <c r="D84" s="75" t="s">
        <v>164</v>
      </c>
      <c r="E84" s="80" t="s">
        <v>165</v>
      </c>
      <c r="F84" s="81"/>
      <c r="G84" s="83"/>
      <c r="H84" s="75" t="s">
        <v>166</v>
      </c>
      <c r="I84" s="75"/>
      <c r="J84" s="75" t="s">
        <v>164</v>
      </c>
      <c r="K84" s="80"/>
      <c r="L84" s="80"/>
      <c r="M84" s="82" t="s">
        <v>167</v>
      </c>
      <c r="N84" s="80"/>
      <c r="O84" s="80"/>
    </row>
    <row r="85" ht="26.25" hidden="1" customHeight="1">
      <c r="A85" s="80" t="s">
        <v>168</v>
      </c>
      <c r="B85" s="81">
        <v>46074.0</v>
      </c>
      <c r="C85" s="74" t="s">
        <v>105</v>
      </c>
      <c r="D85" s="75" t="s">
        <v>164</v>
      </c>
      <c r="E85" s="80" t="s">
        <v>165</v>
      </c>
      <c r="F85" s="81"/>
      <c r="G85" s="83"/>
      <c r="H85" s="75" t="s">
        <v>157</v>
      </c>
      <c r="I85" s="75"/>
      <c r="J85" s="75" t="s">
        <v>164</v>
      </c>
      <c r="K85" s="80"/>
      <c r="L85" s="80"/>
      <c r="M85" s="82" t="s">
        <v>169</v>
      </c>
      <c r="N85" s="80"/>
      <c r="O85" s="80"/>
    </row>
    <row r="86" ht="26.25" hidden="1" customHeight="1">
      <c r="A86" s="80" t="s">
        <v>168</v>
      </c>
      <c r="B86" s="81">
        <v>46074.0</v>
      </c>
      <c r="C86" s="74" t="s">
        <v>105</v>
      </c>
      <c r="D86" s="75" t="s">
        <v>170</v>
      </c>
      <c r="E86" s="80" t="s">
        <v>165</v>
      </c>
      <c r="F86" s="81"/>
      <c r="G86" s="83"/>
      <c r="H86" s="75" t="s">
        <v>171</v>
      </c>
      <c r="I86" s="75"/>
      <c r="J86" s="75" t="s">
        <v>170</v>
      </c>
      <c r="K86" s="80"/>
      <c r="L86" s="80"/>
      <c r="M86" s="82" t="s">
        <v>169</v>
      </c>
      <c r="N86" s="80"/>
      <c r="O86" s="80"/>
    </row>
    <row r="87" ht="26.25" hidden="1" customHeight="1">
      <c r="A87" s="80" t="s">
        <v>172</v>
      </c>
      <c r="B87" s="81">
        <v>46081.0</v>
      </c>
      <c r="C87" s="74" t="s">
        <v>105</v>
      </c>
      <c r="D87" s="75" t="s">
        <v>173</v>
      </c>
      <c r="E87" s="80" t="s">
        <v>24</v>
      </c>
      <c r="F87" s="81"/>
      <c r="G87" s="83"/>
      <c r="H87" s="75" t="s">
        <v>174</v>
      </c>
      <c r="I87" s="75"/>
      <c r="J87" s="75" t="s">
        <v>173</v>
      </c>
      <c r="K87" s="80"/>
      <c r="L87" s="80"/>
      <c r="M87" s="82" t="s">
        <v>175</v>
      </c>
      <c r="N87" s="80"/>
      <c r="O87" s="80"/>
    </row>
    <row r="88" ht="26.25" hidden="1" customHeight="1">
      <c r="A88" s="80"/>
      <c r="B88" s="81">
        <v>46081.0</v>
      </c>
      <c r="C88" s="74" t="s">
        <v>105</v>
      </c>
      <c r="D88" s="75" t="s">
        <v>173</v>
      </c>
      <c r="E88" s="80" t="s">
        <v>24</v>
      </c>
      <c r="F88" s="81"/>
      <c r="G88" s="75" t="s">
        <v>176</v>
      </c>
      <c r="H88" s="84"/>
      <c r="I88" s="84"/>
      <c r="J88" s="85"/>
      <c r="K88" s="80"/>
      <c r="L88" s="80"/>
      <c r="M88" s="80"/>
      <c r="N88" s="80"/>
      <c r="O88" s="80"/>
    </row>
    <row r="89" ht="26.25" hidden="1" customHeight="1">
      <c r="A89" s="18" t="s">
        <v>110</v>
      </c>
      <c r="B89" s="19" t="s">
        <v>177</v>
      </c>
      <c r="C89" s="19" t="s">
        <v>105</v>
      </c>
      <c r="D89" s="19" t="s">
        <v>178</v>
      </c>
      <c r="E89" s="62" t="s">
        <v>24</v>
      </c>
      <c r="F89" s="54"/>
      <c r="G89" s="37">
        <v>11848.81</v>
      </c>
      <c r="H89" s="19"/>
      <c r="I89" s="19"/>
      <c r="J89" s="19" t="s">
        <v>179</v>
      </c>
      <c r="K89" s="19" t="s">
        <v>180</v>
      </c>
      <c r="L89" s="19" t="s">
        <v>181</v>
      </c>
      <c r="M89" s="19" t="s">
        <v>182</v>
      </c>
      <c r="N89" s="64"/>
      <c r="O89" s="65"/>
    </row>
    <row r="90" ht="26.25" hidden="1" customHeight="1">
      <c r="A90" s="27" t="s">
        <v>110</v>
      </c>
      <c r="B90" s="28" t="s">
        <v>177</v>
      </c>
      <c r="C90" s="28" t="s">
        <v>105</v>
      </c>
      <c r="D90" s="28" t="s">
        <v>183</v>
      </c>
      <c r="E90" s="67" t="s">
        <v>24</v>
      </c>
      <c r="F90" s="68"/>
      <c r="G90" s="33">
        <v>-9237.91</v>
      </c>
      <c r="H90" s="28"/>
      <c r="I90" s="28"/>
      <c r="J90" s="28" t="s">
        <v>184</v>
      </c>
      <c r="K90" s="28" t="s">
        <v>185</v>
      </c>
      <c r="L90" s="28" t="s">
        <v>186</v>
      </c>
      <c r="M90" s="28" t="s">
        <v>187</v>
      </c>
      <c r="N90" s="60"/>
      <c r="O90" s="61"/>
    </row>
    <row r="91" ht="26.25" hidden="1" customHeight="1">
      <c r="A91" s="27" t="s">
        <v>136</v>
      </c>
      <c r="B91" s="28" t="s">
        <v>188</v>
      </c>
      <c r="C91" s="28" t="s">
        <v>105</v>
      </c>
      <c r="D91" s="28" t="s">
        <v>189</v>
      </c>
      <c r="E91" s="67" t="s">
        <v>24</v>
      </c>
      <c r="F91" s="68"/>
      <c r="G91" s="33">
        <v>-1050.0</v>
      </c>
      <c r="H91" s="28"/>
      <c r="I91" s="28"/>
      <c r="J91" s="28" t="s">
        <v>34</v>
      </c>
      <c r="K91" s="60"/>
      <c r="L91" s="28" t="s">
        <v>35</v>
      </c>
      <c r="M91" s="28" t="s">
        <v>190</v>
      </c>
      <c r="N91" s="60"/>
      <c r="O91" s="61"/>
    </row>
    <row r="92" ht="26.25" hidden="1" customHeight="1">
      <c r="A92" s="27" t="s">
        <v>136</v>
      </c>
      <c r="B92" s="28" t="s">
        <v>188</v>
      </c>
      <c r="C92" s="28" t="s">
        <v>105</v>
      </c>
      <c r="D92" s="28" t="s">
        <v>189</v>
      </c>
      <c r="E92" s="67" t="s">
        <v>24</v>
      </c>
      <c r="F92" s="68"/>
      <c r="G92" s="33">
        <v>-2296.82</v>
      </c>
      <c r="H92" s="59"/>
      <c r="I92" s="59"/>
      <c r="J92" s="28" t="s">
        <v>191</v>
      </c>
      <c r="K92" s="60"/>
      <c r="L92" s="28" t="s">
        <v>192</v>
      </c>
      <c r="M92" s="28" t="s">
        <v>190</v>
      </c>
      <c r="N92" s="60"/>
      <c r="O92" s="61"/>
    </row>
    <row r="93" ht="26.25" hidden="1" customHeight="1">
      <c r="A93" s="19" t="s">
        <v>193</v>
      </c>
      <c r="B93" s="69">
        <v>46030.0</v>
      </c>
      <c r="C93" s="19" t="s">
        <v>194</v>
      </c>
      <c r="D93" s="19" t="s">
        <v>195</v>
      </c>
      <c r="E93" s="18" t="s">
        <v>24</v>
      </c>
      <c r="F93" s="86">
        <v>46015.0</v>
      </c>
      <c r="G93" s="87">
        <v>7000.0</v>
      </c>
      <c r="H93" s="87"/>
      <c r="I93" s="87"/>
      <c r="J93" s="18" t="s">
        <v>196</v>
      </c>
      <c r="K93" s="19" t="s">
        <v>197</v>
      </c>
      <c r="L93" s="19" t="s">
        <v>198</v>
      </c>
      <c r="M93" s="19" t="s">
        <v>199</v>
      </c>
      <c r="N93" s="19"/>
      <c r="O93" s="19"/>
    </row>
    <row r="94" ht="26.25" hidden="1" customHeight="1">
      <c r="A94" s="19" t="s">
        <v>193</v>
      </c>
      <c r="B94" s="69">
        <v>46030.0</v>
      </c>
      <c r="C94" s="19" t="s">
        <v>194</v>
      </c>
      <c r="D94" s="19" t="s">
        <v>195</v>
      </c>
      <c r="E94" s="18" t="s">
        <v>24</v>
      </c>
      <c r="F94" s="86">
        <v>46015.0</v>
      </c>
      <c r="G94" s="87">
        <v>17000.0</v>
      </c>
      <c r="H94" s="18"/>
      <c r="I94" s="18"/>
      <c r="J94" s="18" t="s">
        <v>196</v>
      </c>
      <c r="K94" s="19" t="s">
        <v>197</v>
      </c>
      <c r="L94" s="19" t="s">
        <v>198</v>
      </c>
      <c r="M94" s="19" t="s">
        <v>199</v>
      </c>
      <c r="N94" s="19"/>
      <c r="O94" s="19"/>
    </row>
    <row r="95" ht="26.25" hidden="1" customHeight="1">
      <c r="A95" s="19" t="s">
        <v>193</v>
      </c>
      <c r="B95" s="69">
        <v>46030.0</v>
      </c>
      <c r="C95" s="19" t="s">
        <v>194</v>
      </c>
      <c r="D95" s="19" t="s">
        <v>195</v>
      </c>
      <c r="E95" s="18" t="s">
        <v>24</v>
      </c>
      <c r="F95" s="86">
        <v>46015.0</v>
      </c>
      <c r="G95" s="87">
        <v>10000.0</v>
      </c>
      <c r="H95" s="18"/>
      <c r="I95" s="18"/>
      <c r="J95" s="18" t="s">
        <v>196</v>
      </c>
      <c r="K95" s="19" t="s">
        <v>197</v>
      </c>
      <c r="L95" s="19" t="s">
        <v>200</v>
      </c>
      <c r="M95" s="19" t="s">
        <v>199</v>
      </c>
      <c r="N95" s="19"/>
      <c r="O95" s="19"/>
    </row>
    <row r="96" ht="26.25" hidden="1" customHeight="1">
      <c r="A96" s="19" t="s">
        <v>193</v>
      </c>
      <c r="B96" s="69">
        <v>46030.0</v>
      </c>
      <c r="C96" s="19" t="s">
        <v>194</v>
      </c>
      <c r="D96" s="19" t="s">
        <v>195</v>
      </c>
      <c r="E96" s="18" t="s">
        <v>24</v>
      </c>
      <c r="F96" s="51">
        <v>46028.0</v>
      </c>
      <c r="G96" s="87">
        <v>4219.0</v>
      </c>
      <c r="H96" s="18"/>
      <c r="I96" s="18"/>
      <c r="J96" s="18" t="s">
        <v>196</v>
      </c>
      <c r="K96" s="19" t="s">
        <v>197</v>
      </c>
      <c r="L96" s="19" t="s">
        <v>201</v>
      </c>
      <c r="M96" s="19" t="s">
        <v>199</v>
      </c>
      <c r="N96" s="19"/>
      <c r="O96" s="19"/>
    </row>
    <row r="97" ht="26.25" hidden="1" customHeight="1">
      <c r="A97" s="28" t="s">
        <v>193</v>
      </c>
      <c r="B97" s="55">
        <v>46030.0</v>
      </c>
      <c r="C97" s="28" t="s">
        <v>194</v>
      </c>
      <c r="D97" s="28" t="s">
        <v>195</v>
      </c>
      <c r="E97" s="27" t="s">
        <v>24</v>
      </c>
      <c r="F97" s="56">
        <v>46107.0</v>
      </c>
      <c r="G97" s="31">
        <v>-10700.0</v>
      </c>
      <c r="H97" s="27"/>
      <c r="I97" s="27"/>
      <c r="J97" s="27" t="s">
        <v>196</v>
      </c>
      <c r="K97" s="28" t="s">
        <v>197</v>
      </c>
      <c r="L97" s="28" t="s">
        <v>202</v>
      </c>
      <c r="M97" s="28" t="s">
        <v>199</v>
      </c>
      <c r="N97" s="28"/>
      <c r="O97" s="28"/>
    </row>
    <row r="98" ht="26.25" hidden="1" customHeight="1">
      <c r="A98" s="28" t="s">
        <v>193</v>
      </c>
      <c r="B98" s="55">
        <v>46030.0</v>
      </c>
      <c r="C98" s="28" t="s">
        <v>194</v>
      </c>
      <c r="D98" s="28" t="s">
        <v>195</v>
      </c>
      <c r="E98" s="27" t="s">
        <v>24</v>
      </c>
      <c r="F98" s="56"/>
      <c r="G98" s="31">
        <v>-31909.24</v>
      </c>
      <c r="H98" s="27"/>
      <c r="I98" s="27"/>
      <c r="J98" s="27" t="s">
        <v>203</v>
      </c>
      <c r="K98" s="28"/>
      <c r="L98" s="28" t="s">
        <v>204</v>
      </c>
      <c r="M98" s="28" t="s">
        <v>205</v>
      </c>
      <c r="N98" s="28"/>
      <c r="O98" s="28"/>
    </row>
    <row r="99" ht="26.25" hidden="1" customHeight="1">
      <c r="A99" s="28" t="s">
        <v>193</v>
      </c>
      <c r="B99" s="55">
        <v>46030.0</v>
      </c>
      <c r="C99" s="28" t="s">
        <v>194</v>
      </c>
      <c r="D99" s="28" t="s">
        <v>195</v>
      </c>
      <c r="E99" s="27" t="s">
        <v>24</v>
      </c>
      <c r="F99" s="56"/>
      <c r="G99" s="31">
        <v>-3200.0</v>
      </c>
      <c r="H99" s="27"/>
      <c r="I99" s="27"/>
      <c r="J99" s="27" t="s">
        <v>206</v>
      </c>
      <c r="K99" s="28" t="s">
        <v>207</v>
      </c>
      <c r="L99" s="28" t="s">
        <v>208</v>
      </c>
      <c r="M99" s="28" t="s">
        <v>199</v>
      </c>
      <c r="N99" s="28"/>
      <c r="O99" s="28"/>
    </row>
    <row r="100" ht="26.25" hidden="1" customHeight="1">
      <c r="A100" s="28" t="s">
        <v>193</v>
      </c>
      <c r="B100" s="55">
        <v>46030.0</v>
      </c>
      <c r="C100" s="28" t="s">
        <v>194</v>
      </c>
      <c r="D100" s="28" t="s">
        <v>195</v>
      </c>
      <c r="E100" s="27" t="s">
        <v>24</v>
      </c>
      <c r="F100" s="56"/>
      <c r="G100" s="31">
        <v>-800.0</v>
      </c>
      <c r="H100" s="27"/>
      <c r="I100" s="27"/>
      <c r="J100" s="27" t="s">
        <v>209</v>
      </c>
      <c r="K100" s="28"/>
      <c r="L100" s="28" t="s">
        <v>210</v>
      </c>
      <c r="M100" s="28" t="s">
        <v>199</v>
      </c>
      <c r="N100" s="28"/>
      <c r="O100" s="28"/>
    </row>
    <row r="101" ht="26.25" hidden="1" customHeight="1">
      <c r="A101" s="28" t="s">
        <v>193</v>
      </c>
      <c r="B101" s="55">
        <v>46030.0</v>
      </c>
      <c r="C101" s="28" t="s">
        <v>194</v>
      </c>
      <c r="D101" s="28" t="s">
        <v>195</v>
      </c>
      <c r="E101" s="27" t="s">
        <v>24</v>
      </c>
      <c r="F101" s="56"/>
      <c r="G101" s="31">
        <v>-600.0</v>
      </c>
      <c r="H101" s="27"/>
      <c r="I101" s="27"/>
      <c r="J101" s="27" t="s">
        <v>209</v>
      </c>
      <c r="K101" s="28"/>
      <c r="L101" s="28" t="s">
        <v>211</v>
      </c>
      <c r="M101" s="28" t="s">
        <v>199</v>
      </c>
      <c r="N101" s="28"/>
      <c r="O101" s="28"/>
    </row>
    <row r="102" ht="26.25" hidden="1" customHeight="1">
      <c r="A102" s="28" t="s">
        <v>22</v>
      </c>
      <c r="B102" s="26">
        <v>46031.0</v>
      </c>
      <c r="C102" s="28" t="s">
        <v>194</v>
      </c>
      <c r="D102" s="27" t="s">
        <v>212</v>
      </c>
      <c r="E102" s="67" t="s">
        <v>24</v>
      </c>
      <c r="F102" s="88"/>
      <c r="G102" s="31">
        <v>-1050.0</v>
      </c>
      <c r="H102" s="59"/>
      <c r="I102" s="59"/>
      <c r="J102" s="27" t="s">
        <v>34</v>
      </c>
      <c r="K102" s="60"/>
      <c r="L102" s="28" t="s">
        <v>35</v>
      </c>
      <c r="M102" s="28" t="s">
        <v>213</v>
      </c>
      <c r="N102" s="60"/>
      <c r="O102" s="61"/>
    </row>
    <row r="103" ht="26.25" hidden="1" customHeight="1">
      <c r="A103" s="28" t="s">
        <v>22</v>
      </c>
      <c r="B103" s="26">
        <v>46031.0</v>
      </c>
      <c r="C103" s="28" t="s">
        <v>194</v>
      </c>
      <c r="D103" s="27" t="s">
        <v>212</v>
      </c>
      <c r="E103" s="67" t="s">
        <v>24</v>
      </c>
      <c r="F103" s="88"/>
      <c r="G103" s="31">
        <v>-500.0</v>
      </c>
      <c r="H103" s="59"/>
      <c r="I103" s="59"/>
      <c r="J103" s="27" t="s">
        <v>31</v>
      </c>
      <c r="K103" s="60"/>
      <c r="L103" s="28" t="s">
        <v>214</v>
      </c>
      <c r="M103" s="28" t="s">
        <v>213</v>
      </c>
      <c r="N103" s="60"/>
      <c r="O103" s="61"/>
    </row>
    <row r="104" ht="26.25" hidden="1" customHeight="1">
      <c r="A104" s="28" t="s">
        <v>22</v>
      </c>
      <c r="B104" s="26">
        <v>46031.0</v>
      </c>
      <c r="C104" s="28" t="s">
        <v>194</v>
      </c>
      <c r="D104" s="27" t="s">
        <v>212</v>
      </c>
      <c r="E104" s="67" t="s">
        <v>24</v>
      </c>
      <c r="F104" s="88"/>
      <c r="G104" s="31">
        <v>-1200.0</v>
      </c>
      <c r="H104" s="59"/>
      <c r="I104" s="59"/>
      <c r="J104" s="27" t="s">
        <v>31</v>
      </c>
      <c r="K104" s="60"/>
      <c r="L104" s="28" t="s">
        <v>215</v>
      </c>
      <c r="M104" s="28" t="s">
        <v>213</v>
      </c>
      <c r="N104" s="60"/>
      <c r="O104" s="61"/>
    </row>
    <row r="105" ht="26.25" hidden="1" customHeight="1">
      <c r="A105" s="28" t="s">
        <v>22</v>
      </c>
      <c r="B105" s="26">
        <v>46031.0</v>
      </c>
      <c r="C105" s="28" t="s">
        <v>194</v>
      </c>
      <c r="D105" s="27" t="s">
        <v>212</v>
      </c>
      <c r="E105" s="67" t="s">
        <v>24</v>
      </c>
      <c r="F105" s="88"/>
      <c r="G105" s="31">
        <v>-94.83</v>
      </c>
      <c r="H105" s="59"/>
      <c r="I105" s="59"/>
      <c r="J105" s="27" t="s">
        <v>31</v>
      </c>
      <c r="K105" s="60"/>
      <c r="L105" s="28" t="s">
        <v>92</v>
      </c>
      <c r="M105" s="28" t="s">
        <v>213</v>
      </c>
      <c r="N105" s="60"/>
      <c r="O105" s="61"/>
    </row>
    <row r="106" ht="26.25" hidden="1" customHeight="1">
      <c r="A106" s="89">
        <v>0.8097222222222222</v>
      </c>
      <c r="B106" s="26">
        <v>46031.0</v>
      </c>
      <c r="C106" s="28" t="s">
        <v>194</v>
      </c>
      <c r="D106" s="27" t="s">
        <v>212</v>
      </c>
      <c r="E106" s="67" t="s">
        <v>24</v>
      </c>
      <c r="F106" s="28"/>
      <c r="G106" s="31">
        <v>-1050.0</v>
      </c>
      <c r="H106" s="41"/>
      <c r="I106" s="41"/>
      <c r="J106" s="27" t="s">
        <v>34</v>
      </c>
      <c r="K106" s="60"/>
      <c r="L106" s="28" t="s">
        <v>35</v>
      </c>
      <c r="M106" s="28" t="s">
        <v>216</v>
      </c>
      <c r="N106" s="60"/>
      <c r="O106" s="61"/>
    </row>
    <row r="107" ht="26.25" hidden="1" customHeight="1">
      <c r="A107" s="28" t="s">
        <v>193</v>
      </c>
      <c r="B107" s="26">
        <v>46031.0</v>
      </c>
      <c r="C107" s="28" t="s">
        <v>194</v>
      </c>
      <c r="D107" s="27" t="s">
        <v>212</v>
      </c>
      <c r="E107" s="67" t="s">
        <v>24</v>
      </c>
      <c r="F107" s="28"/>
      <c r="G107" s="31">
        <v>-1050.0</v>
      </c>
      <c r="H107" s="41"/>
      <c r="I107" s="41"/>
      <c r="J107" s="27" t="s">
        <v>34</v>
      </c>
      <c r="K107" s="60"/>
      <c r="L107" s="28" t="s">
        <v>35</v>
      </c>
      <c r="M107" s="28" t="s">
        <v>217</v>
      </c>
      <c r="N107" s="60"/>
      <c r="O107" s="61"/>
    </row>
    <row r="108" ht="26.25" hidden="1" customHeight="1">
      <c r="A108" s="28" t="s">
        <v>193</v>
      </c>
      <c r="B108" s="26">
        <v>46031.0</v>
      </c>
      <c r="C108" s="28" t="s">
        <v>194</v>
      </c>
      <c r="D108" s="27" t="s">
        <v>212</v>
      </c>
      <c r="E108" s="67" t="s">
        <v>24</v>
      </c>
      <c r="F108" s="28"/>
      <c r="G108" s="31">
        <v>-500.0</v>
      </c>
      <c r="H108" s="41"/>
      <c r="I108" s="41"/>
      <c r="J108" s="27" t="s">
        <v>218</v>
      </c>
      <c r="K108" s="60"/>
      <c r="L108" s="28" t="s">
        <v>219</v>
      </c>
      <c r="M108" s="28" t="s">
        <v>217</v>
      </c>
      <c r="N108" s="60"/>
      <c r="O108" s="61"/>
    </row>
    <row r="109" ht="26.25" hidden="1" customHeight="1">
      <c r="A109" s="28" t="s">
        <v>193</v>
      </c>
      <c r="B109" s="26">
        <v>46031.0</v>
      </c>
      <c r="C109" s="28" t="s">
        <v>194</v>
      </c>
      <c r="D109" s="27" t="s">
        <v>212</v>
      </c>
      <c r="E109" s="67" t="s">
        <v>24</v>
      </c>
      <c r="F109" s="28"/>
      <c r="G109" s="31">
        <v>-900.0</v>
      </c>
      <c r="H109" s="41"/>
      <c r="I109" s="41"/>
      <c r="J109" s="27" t="s">
        <v>218</v>
      </c>
      <c r="K109" s="60"/>
      <c r="L109" s="28" t="s">
        <v>215</v>
      </c>
      <c r="M109" s="28" t="s">
        <v>217</v>
      </c>
      <c r="N109" s="60"/>
      <c r="O109" s="61"/>
    </row>
    <row r="110" ht="26.25" hidden="1" customHeight="1">
      <c r="A110" s="28" t="s">
        <v>193</v>
      </c>
      <c r="B110" s="26">
        <v>46031.0</v>
      </c>
      <c r="C110" s="28" t="s">
        <v>194</v>
      </c>
      <c r="D110" s="27" t="s">
        <v>212</v>
      </c>
      <c r="E110" s="27" t="s">
        <v>24</v>
      </c>
      <c r="F110" s="56"/>
      <c r="G110" s="31">
        <v>-400.0</v>
      </c>
      <c r="H110" s="27"/>
      <c r="I110" s="27"/>
      <c r="J110" s="27" t="s">
        <v>61</v>
      </c>
      <c r="K110" s="28" t="s">
        <v>220</v>
      </c>
      <c r="L110" s="28" t="s">
        <v>221</v>
      </c>
      <c r="M110" s="28" t="s">
        <v>205</v>
      </c>
      <c r="N110" s="28"/>
      <c r="O110" s="28"/>
    </row>
    <row r="111" ht="26.25" hidden="1" customHeight="1">
      <c r="A111" s="18" t="s">
        <v>222</v>
      </c>
      <c r="B111" s="17">
        <v>46032.0</v>
      </c>
      <c r="C111" s="19" t="s">
        <v>194</v>
      </c>
      <c r="D111" s="19" t="s">
        <v>223</v>
      </c>
      <c r="E111" s="62" t="s">
        <v>24</v>
      </c>
      <c r="F111" s="51">
        <v>46100.0</v>
      </c>
      <c r="G111" s="37">
        <v>3200.0</v>
      </c>
      <c r="H111" s="90"/>
      <c r="I111" s="90"/>
      <c r="J111" s="19" t="s">
        <v>224</v>
      </c>
      <c r="K111" s="19" t="s">
        <v>225</v>
      </c>
      <c r="L111" s="19" t="s">
        <v>226</v>
      </c>
      <c r="M111" s="19" t="s">
        <v>227</v>
      </c>
      <c r="N111" s="64"/>
      <c r="O111" s="65"/>
    </row>
    <row r="112" ht="26.25" hidden="1" customHeight="1">
      <c r="A112" s="18" t="s">
        <v>222</v>
      </c>
      <c r="B112" s="17">
        <v>46032.0</v>
      </c>
      <c r="C112" s="19" t="s">
        <v>194</v>
      </c>
      <c r="D112" s="19" t="s">
        <v>223</v>
      </c>
      <c r="E112" s="62" t="s">
        <v>24</v>
      </c>
      <c r="F112" s="51">
        <v>46100.0</v>
      </c>
      <c r="G112" s="37">
        <v>1120.0</v>
      </c>
      <c r="H112" s="90"/>
      <c r="I112" s="90"/>
      <c r="J112" s="19" t="s">
        <v>224</v>
      </c>
      <c r="K112" s="19" t="s">
        <v>225</v>
      </c>
      <c r="L112" s="19" t="s">
        <v>228</v>
      </c>
      <c r="M112" s="19" t="s">
        <v>227</v>
      </c>
      <c r="N112" s="64"/>
      <c r="O112" s="65"/>
    </row>
    <row r="113" ht="26.25" hidden="1" customHeight="1">
      <c r="A113" s="27" t="s">
        <v>222</v>
      </c>
      <c r="B113" s="26">
        <v>46032.0</v>
      </c>
      <c r="C113" s="28" t="s">
        <v>194</v>
      </c>
      <c r="D113" s="28" t="s">
        <v>223</v>
      </c>
      <c r="E113" s="67" t="s">
        <v>24</v>
      </c>
      <c r="F113" s="56"/>
      <c r="G113" s="33">
        <v>-500.0</v>
      </c>
      <c r="H113" s="91"/>
      <c r="I113" s="91"/>
      <c r="J113" s="27" t="s">
        <v>31</v>
      </c>
      <c r="K113" s="28"/>
      <c r="L113" s="28" t="s">
        <v>219</v>
      </c>
      <c r="M113" s="28" t="s">
        <v>227</v>
      </c>
      <c r="N113" s="60"/>
      <c r="O113" s="61"/>
    </row>
    <row r="114" ht="26.25" hidden="1" customHeight="1">
      <c r="A114" s="27" t="s">
        <v>222</v>
      </c>
      <c r="B114" s="26">
        <v>46032.0</v>
      </c>
      <c r="C114" s="28" t="s">
        <v>194</v>
      </c>
      <c r="D114" s="28" t="s">
        <v>223</v>
      </c>
      <c r="E114" s="67" t="s">
        <v>24</v>
      </c>
      <c r="F114" s="56"/>
      <c r="G114" s="33">
        <v>-600.0</v>
      </c>
      <c r="H114" s="91"/>
      <c r="I114" s="91"/>
      <c r="J114" s="27" t="s">
        <v>31</v>
      </c>
      <c r="K114" s="28"/>
      <c r="L114" s="28" t="s">
        <v>215</v>
      </c>
      <c r="M114" s="28" t="s">
        <v>227</v>
      </c>
      <c r="N114" s="60"/>
      <c r="O114" s="61"/>
    </row>
    <row r="115" ht="26.25" hidden="1" customHeight="1">
      <c r="A115" s="27" t="s">
        <v>222</v>
      </c>
      <c r="B115" s="26">
        <v>46032.0</v>
      </c>
      <c r="C115" s="28" t="s">
        <v>194</v>
      </c>
      <c r="D115" s="28" t="s">
        <v>223</v>
      </c>
      <c r="E115" s="67" t="s">
        <v>24</v>
      </c>
      <c r="F115" s="56"/>
      <c r="G115" s="33">
        <v>-112.99</v>
      </c>
      <c r="H115" s="91"/>
      <c r="I115" s="91"/>
      <c r="J115" s="27" t="s">
        <v>31</v>
      </c>
      <c r="K115" s="28"/>
      <c r="L115" s="28" t="s">
        <v>92</v>
      </c>
      <c r="M115" s="28" t="s">
        <v>227</v>
      </c>
      <c r="N115" s="60"/>
      <c r="O115" s="61"/>
    </row>
    <row r="116" ht="26.25" hidden="1" customHeight="1">
      <c r="A116" s="19" t="s">
        <v>193</v>
      </c>
      <c r="B116" s="51">
        <v>46036.0</v>
      </c>
      <c r="C116" s="19" t="s">
        <v>194</v>
      </c>
      <c r="D116" s="19" t="s">
        <v>229</v>
      </c>
      <c r="E116" s="18" t="s">
        <v>24</v>
      </c>
      <c r="F116" s="92">
        <v>46368.0</v>
      </c>
      <c r="G116" s="87">
        <v>16380.0</v>
      </c>
      <c r="H116" s="93"/>
      <c r="I116" s="93"/>
      <c r="J116" s="19" t="s">
        <v>230</v>
      </c>
      <c r="K116" s="19"/>
      <c r="L116" s="19" t="s">
        <v>231</v>
      </c>
      <c r="M116" s="19" t="s">
        <v>232</v>
      </c>
      <c r="N116" s="64"/>
      <c r="O116" s="65"/>
    </row>
    <row r="117" ht="26.25" hidden="1" customHeight="1">
      <c r="A117" s="19" t="s">
        <v>233</v>
      </c>
      <c r="B117" s="19" t="s">
        <v>234</v>
      </c>
      <c r="C117" s="19" t="s">
        <v>194</v>
      </c>
      <c r="D117" s="19" t="s">
        <v>235</v>
      </c>
      <c r="E117" s="18" t="s">
        <v>24</v>
      </c>
      <c r="F117" s="92">
        <v>46030.0</v>
      </c>
      <c r="G117" s="87">
        <v>12720.0</v>
      </c>
      <c r="H117" s="93"/>
      <c r="I117" s="93"/>
      <c r="J117" s="19" t="s">
        <v>142</v>
      </c>
      <c r="K117" s="19" t="s">
        <v>143</v>
      </c>
      <c r="L117" s="19" t="s">
        <v>236</v>
      </c>
      <c r="M117" s="19" t="s">
        <v>237</v>
      </c>
      <c r="N117" s="64"/>
      <c r="O117" s="65"/>
    </row>
    <row r="118" ht="26.25" hidden="1" customHeight="1">
      <c r="A118" s="19" t="s">
        <v>233</v>
      </c>
      <c r="B118" s="19" t="s">
        <v>234</v>
      </c>
      <c r="C118" s="19" t="s">
        <v>194</v>
      </c>
      <c r="D118" s="19" t="s">
        <v>235</v>
      </c>
      <c r="E118" s="18" t="s">
        <v>24</v>
      </c>
      <c r="F118" s="92">
        <v>46031.0</v>
      </c>
      <c r="G118" s="87">
        <v>16930.0</v>
      </c>
      <c r="H118" s="93"/>
      <c r="I118" s="93"/>
      <c r="J118" s="19" t="s">
        <v>142</v>
      </c>
      <c r="K118" s="19" t="s">
        <v>143</v>
      </c>
      <c r="L118" s="19" t="s">
        <v>236</v>
      </c>
      <c r="M118" s="19" t="s">
        <v>237</v>
      </c>
      <c r="N118" s="64"/>
      <c r="O118" s="65"/>
    </row>
    <row r="119" ht="26.25" hidden="1" customHeight="1">
      <c r="A119" s="19" t="s">
        <v>238</v>
      </c>
      <c r="B119" s="18" t="s">
        <v>239</v>
      </c>
      <c r="C119" s="19" t="s">
        <v>194</v>
      </c>
      <c r="D119" s="19" t="s">
        <v>212</v>
      </c>
      <c r="E119" s="62" t="s">
        <v>24</v>
      </c>
      <c r="F119" s="86">
        <v>46000.0</v>
      </c>
      <c r="G119" s="52">
        <v>60015.0</v>
      </c>
      <c r="H119" s="66"/>
      <c r="I119" s="66"/>
      <c r="J119" s="19" t="s">
        <v>142</v>
      </c>
      <c r="K119" s="19" t="s">
        <v>143</v>
      </c>
      <c r="L119" s="19" t="s">
        <v>240</v>
      </c>
      <c r="M119" s="19" t="s">
        <v>241</v>
      </c>
      <c r="N119" s="64"/>
      <c r="O119" s="65"/>
    </row>
    <row r="120" ht="26.25" hidden="1" customHeight="1">
      <c r="A120" s="19" t="s">
        <v>238</v>
      </c>
      <c r="B120" s="18" t="s">
        <v>239</v>
      </c>
      <c r="C120" s="19" t="s">
        <v>194</v>
      </c>
      <c r="D120" s="19" t="s">
        <v>212</v>
      </c>
      <c r="E120" s="62" t="s">
        <v>24</v>
      </c>
      <c r="F120" s="51">
        <v>45887.0</v>
      </c>
      <c r="G120" s="52">
        <v>54015.0</v>
      </c>
      <c r="H120" s="66"/>
      <c r="I120" s="66"/>
      <c r="J120" s="19" t="s">
        <v>142</v>
      </c>
      <c r="K120" s="19" t="s">
        <v>143</v>
      </c>
      <c r="L120" s="19" t="s">
        <v>242</v>
      </c>
      <c r="M120" s="19" t="s">
        <v>241</v>
      </c>
      <c r="N120" s="64"/>
      <c r="O120" s="65"/>
    </row>
    <row r="121" ht="26.25" hidden="1" customHeight="1">
      <c r="A121" s="28" t="s">
        <v>238</v>
      </c>
      <c r="B121" s="27" t="s">
        <v>239</v>
      </c>
      <c r="C121" s="28" t="s">
        <v>194</v>
      </c>
      <c r="D121" s="28" t="s">
        <v>212</v>
      </c>
      <c r="E121" s="67" t="s">
        <v>24</v>
      </c>
      <c r="F121" s="56"/>
      <c r="G121" s="33">
        <v>-1000.0</v>
      </c>
      <c r="H121" s="59"/>
      <c r="I121" s="59"/>
      <c r="J121" s="28" t="s">
        <v>243</v>
      </c>
      <c r="K121" s="28" t="s">
        <v>244</v>
      </c>
      <c r="L121" s="28" t="s">
        <v>219</v>
      </c>
      <c r="M121" s="28" t="s">
        <v>241</v>
      </c>
      <c r="N121" s="60"/>
      <c r="O121" s="61"/>
    </row>
    <row r="122" ht="26.25" hidden="1" customHeight="1">
      <c r="A122" s="28" t="s">
        <v>238</v>
      </c>
      <c r="B122" s="27" t="s">
        <v>239</v>
      </c>
      <c r="C122" s="28" t="s">
        <v>194</v>
      </c>
      <c r="D122" s="28" t="s">
        <v>212</v>
      </c>
      <c r="E122" s="67" t="s">
        <v>24</v>
      </c>
      <c r="F122" s="56"/>
      <c r="G122" s="57">
        <v>-1200.0</v>
      </c>
      <c r="H122" s="59"/>
      <c r="I122" s="59"/>
      <c r="J122" s="28" t="s">
        <v>245</v>
      </c>
      <c r="K122" s="28" t="s">
        <v>246</v>
      </c>
      <c r="L122" s="28" t="s">
        <v>215</v>
      </c>
      <c r="M122" s="28" t="s">
        <v>241</v>
      </c>
      <c r="N122" s="60"/>
      <c r="O122" s="61"/>
    </row>
    <row r="123" ht="26.25" hidden="1" customHeight="1">
      <c r="A123" s="28" t="s">
        <v>238</v>
      </c>
      <c r="B123" s="27" t="s">
        <v>239</v>
      </c>
      <c r="C123" s="28" t="s">
        <v>194</v>
      </c>
      <c r="D123" s="28" t="s">
        <v>212</v>
      </c>
      <c r="E123" s="67" t="s">
        <v>24</v>
      </c>
      <c r="F123" s="56"/>
      <c r="G123" s="57">
        <v>-136.31</v>
      </c>
      <c r="H123" s="59"/>
      <c r="I123" s="59"/>
      <c r="J123" s="28" t="s">
        <v>243</v>
      </c>
      <c r="K123" s="28" t="s">
        <v>244</v>
      </c>
      <c r="L123" s="28" t="s">
        <v>247</v>
      </c>
      <c r="M123" s="28" t="s">
        <v>241</v>
      </c>
      <c r="N123" s="60"/>
      <c r="O123" s="61"/>
    </row>
    <row r="124" ht="26.25" hidden="1" customHeight="1">
      <c r="A124" s="39" t="s">
        <v>98</v>
      </c>
      <c r="B124" s="58">
        <v>46142.0</v>
      </c>
      <c r="C124" s="28" t="s">
        <v>17</v>
      </c>
      <c r="D124" s="28" t="s">
        <v>99</v>
      </c>
      <c r="E124" s="27" t="s">
        <v>44</v>
      </c>
      <c r="F124" s="56">
        <v>46156.0</v>
      </c>
      <c r="G124" s="57">
        <v>-1789.0</v>
      </c>
      <c r="H124" s="41">
        <v>-360.0</v>
      </c>
      <c r="I124" s="41"/>
      <c r="J124" s="28" t="s">
        <v>101</v>
      </c>
      <c r="K124" s="28" t="s">
        <v>102</v>
      </c>
      <c r="L124" s="28" t="s">
        <v>248</v>
      </c>
      <c r="M124" s="28" t="s">
        <v>100</v>
      </c>
      <c r="N124" s="60"/>
      <c r="O124" s="61"/>
    </row>
    <row r="125" ht="26.25" customHeight="1">
      <c r="A125" s="17" t="s">
        <v>249</v>
      </c>
      <c r="B125" s="17">
        <v>46144.0</v>
      </c>
      <c r="C125" s="18" t="s">
        <v>250</v>
      </c>
      <c r="D125" s="22" t="s">
        <v>251</v>
      </c>
      <c r="E125" s="22" t="s">
        <v>44</v>
      </c>
      <c r="F125" s="23">
        <v>46149.0</v>
      </c>
      <c r="G125" s="94">
        <f>300*5.6895</f>
        <v>1706.85</v>
      </c>
      <c r="H125" s="19"/>
      <c r="I125" s="95">
        <v>300.0</v>
      </c>
      <c r="J125" s="22" t="s">
        <v>251</v>
      </c>
      <c r="K125" s="22"/>
      <c r="L125" s="18" t="s">
        <v>231</v>
      </c>
      <c r="M125" s="18" t="s">
        <v>252</v>
      </c>
      <c r="N125" s="22"/>
      <c r="O125" s="22"/>
    </row>
    <row r="126" ht="26.25" customHeight="1">
      <c r="A126" s="26" t="s">
        <v>249</v>
      </c>
      <c r="B126" s="26">
        <v>46144.0</v>
      </c>
      <c r="C126" s="27" t="s">
        <v>250</v>
      </c>
      <c r="D126" s="29" t="s">
        <v>251</v>
      </c>
      <c r="E126" s="29" t="s">
        <v>44</v>
      </c>
      <c r="F126" s="30">
        <v>46160.0</v>
      </c>
      <c r="G126" s="47">
        <v>-233.05</v>
      </c>
      <c r="H126" s="28"/>
      <c r="I126" s="96">
        <v>-40.0</v>
      </c>
      <c r="J126" s="27" t="s">
        <v>203</v>
      </c>
      <c r="K126" s="29"/>
      <c r="L126" s="27" t="s">
        <v>253</v>
      </c>
      <c r="M126" s="27" t="s">
        <v>252</v>
      </c>
      <c r="N126" s="29"/>
      <c r="O126" s="29"/>
    </row>
    <row r="127" ht="26.25" customHeight="1">
      <c r="A127" s="26" t="s">
        <v>249</v>
      </c>
      <c r="B127" s="26">
        <v>46144.0</v>
      </c>
      <c r="C127" s="27" t="s">
        <v>250</v>
      </c>
      <c r="D127" s="29" t="s">
        <v>251</v>
      </c>
      <c r="E127" s="29" t="s">
        <v>44</v>
      </c>
      <c r="F127" s="30">
        <v>46164.0</v>
      </c>
      <c r="G127" s="47">
        <v>-1179.04</v>
      </c>
      <c r="H127" s="28"/>
      <c r="I127" s="96"/>
      <c r="J127" s="27" t="s">
        <v>254</v>
      </c>
      <c r="K127" s="27" t="s">
        <v>255</v>
      </c>
      <c r="L127" s="27" t="s">
        <v>256</v>
      </c>
      <c r="M127" s="27" t="s">
        <v>252</v>
      </c>
      <c r="N127" s="29"/>
      <c r="O127" s="29"/>
    </row>
    <row r="128" ht="26.25" customHeight="1">
      <c r="A128" s="22" t="s">
        <v>257</v>
      </c>
      <c r="B128" s="97">
        <v>46144.0</v>
      </c>
      <c r="C128" s="18" t="s">
        <v>250</v>
      </c>
      <c r="D128" s="22" t="s">
        <v>258</v>
      </c>
      <c r="E128" s="22" t="s">
        <v>44</v>
      </c>
      <c r="F128" s="17"/>
      <c r="G128" s="94"/>
      <c r="H128" s="19" t="s">
        <v>259</v>
      </c>
      <c r="I128" s="19"/>
      <c r="J128" s="22" t="s">
        <v>258</v>
      </c>
      <c r="K128" s="22"/>
      <c r="L128" s="18" t="s">
        <v>260</v>
      </c>
      <c r="M128" s="18" t="s">
        <v>261</v>
      </c>
      <c r="N128" s="22"/>
      <c r="O128" s="22"/>
    </row>
    <row r="129" ht="26.25" customHeight="1">
      <c r="A129" s="42" t="s">
        <v>262</v>
      </c>
      <c r="B129" s="98">
        <v>46150.0</v>
      </c>
      <c r="C129" s="44" t="s">
        <v>250</v>
      </c>
      <c r="D129" s="44" t="s">
        <v>263</v>
      </c>
      <c r="E129" s="42" t="s">
        <v>44</v>
      </c>
      <c r="F129" s="43"/>
      <c r="G129" s="45"/>
      <c r="H129" s="44" t="s">
        <v>264</v>
      </c>
      <c r="I129" s="44"/>
      <c r="J129" s="42"/>
      <c r="K129" s="42"/>
      <c r="L129" s="44" t="s">
        <v>265</v>
      </c>
      <c r="M129" s="44" t="s">
        <v>266</v>
      </c>
      <c r="N129" s="42"/>
      <c r="O129" s="42"/>
    </row>
    <row r="130" ht="26.25" customHeight="1">
      <c r="A130" s="42" t="s">
        <v>262</v>
      </c>
      <c r="B130" s="98">
        <v>46151.0</v>
      </c>
      <c r="C130" s="44" t="s">
        <v>250</v>
      </c>
      <c r="D130" s="42" t="s">
        <v>267</v>
      </c>
      <c r="E130" s="42" t="s">
        <v>44</v>
      </c>
      <c r="F130" s="43"/>
      <c r="G130" s="45"/>
      <c r="H130" s="44" t="s">
        <v>264</v>
      </c>
      <c r="I130" s="44"/>
      <c r="J130" s="42"/>
      <c r="K130" s="42"/>
      <c r="L130" s="44" t="s">
        <v>265</v>
      </c>
      <c r="M130" s="44" t="s">
        <v>266</v>
      </c>
      <c r="N130" s="42"/>
      <c r="O130" s="42"/>
    </row>
    <row r="131" ht="26.25" customHeight="1">
      <c r="A131" s="42" t="s">
        <v>268</v>
      </c>
      <c r="B131" s="43">
        <v>46151.0</v>
      </c>
      <c r="C131" s="44" t="s">
        <v>250</v>
      </c>
      <c r="D131" s="42" t="s">
        <v>269</v>
      </c>
      <c r="E131" s="42" t="s">
        <v>44</v>
      </c>
      <c r="F131" s="43"/>
      <c r="G131" s="45"/>
      <c r="H131" s="44" t="s">
        <v>119</v>
      </c>
      <c r="I131" s="44"/>
      <c r="J131" s="42" t="s">
        <v>269</v>
      </c>
      <c r="K131" s="42"/>
      <c r="L131" s="44" t="s">
        <v>265</v>
      </c>
      <c r="M131" s="44" t="s">
        <v>261</v>
      </c>
      <c r="N131" s="42"/>
      <c r="O131" s="42"/>
    </row>
    <row r="132" ht="26.25" customHeight="1">
      <c r="A132" s="42" t="s">
        <v>268</v>
      </c>
      <c r="B132" s="43">
        <v>46151.0</v>
      </c>
      <c r="C132" s="44" t="s">
        <v>250</v>
      </c>
      <c r="D132" s="42" t="s">
        <v>270</v>
      </c>
      <c r="E132" s="42" t="s">
        <v>44</v>
      </c>
      <c r="F132" s="43"/>
      <c r="G132" s="99"/>
      <c r="H132" s="44" t="s">
        <v>119</v>
      </c>
      <c r="I132" s="44"/>
      <c r="J132" s="42" t="s">
        <v>270</v>
      </c>
      <c r="K132" s="42"/>
      <c r="L132" s="44" t="s">
        <v>265</v>
      </c>
      <c r="M132" s="44" t="s">
        <v>261</v>
      </c>
      <c r="N132" s="42"/>
      <c r="O132" s="42"/>
    </row>
    <row r="133" ht="26.25" customHeight="1">
      <c r="A133" s="44" t="s">
        <v>172</v>
      </c>
      <c r="B133" s="43">
        <v>46152.0</v>
      </c>
      <c r="C133" s="44" t="s">
        <v>250</v>
      </c>
      <c r="D133" s="44" t="s">
        <v>88</v>
      </c>
      <c r="E133" s="42" t="s">
        <v>24</v>
      </c>
      <c r="F133" s="46"/>
      <c r="G133" s="45">
        <v>18900.0</v>
      </c>
      <c r="H133" s="100"/>
      <c r="I133" s="100"/>
      <c r="J133" s="44" t="s">
        <v>88</v>
      </c>
      <c r="K133" s="42"/>
      <c r="L133" s="44" t="s">
        <v>49</v>
      </c>
      <c r="M133" s="44" t="s">
        <v>271</v>
      </c>
      <c r="N133" s="42"/>
      <c r="O133" s="42"/>
    </row>
    <row r="134" ht="26.25" customHeight="1">
      <c r="A134" s="18" t="s">
        <v>172</v>
      </c>
      <c r="B134" s="17">
        <v>46152.0</v>
      </c>
      <c r="C134" s="18" t="s">
        <v>250</v>
      </c>
      <c r="D134" s="19" t="s">
        <v>88</v>
      </c>
      <c r="E134" s="22" t="s">
        <v>24</v>
      </c>
      <c r="F134" s="23"/>
      <c r="G134" s="94">
        <v>3500.0</v>
      </c>
      <c r="H134" s="21"/>
      <c r="I134" s="21"/>
      <c r="J134" s="19" t="s">
        <v>88</v>
      </c>
      <c r="K134" s="22"/>
      <c r="L134" s="18" t="s">
        <v>75</v>
      </c>
      <c r="M134" s="18" t="s">
        <v>271</v>
      </c>
      <c r="N134" s="22"/>
      <c r="O134" s="22"/>
    </row>
    <row r="135" ht="26.25" customHeight="1">
      <c r="A135" s="27" t="s">
        <v>172</v>
      </c>
      <c r="B135" s="26">
        <v>46152.0</v>
      </c>
      <c r="C135" s="27" t="s">
        <v>250</v>
      </c>
      <c r="D135" s="27" t="s">
        <v>88</v>
      </c>
      <c r="E135" s="29" t="s">
        <v>24</v>
      </c>
      <c r="F135" s="30">
        <v>46160.0</v>
      </c>
      <c r="G135" s="47">
        <v>-1000.0</v>
      </c>
      <c r="H135" s="28"/>
      <c r="I135" s="96"/>
      <c r="J135" s="27" t="s">
        <v>272</v>
      </c>
      <c r="K135" s="27" t="s">
        <v>273</v>
      </c>
      <c r="L135" s="27" t="s">
        <v>274</v>
      </c>
      <c r="M135" s="27" t="s">
        <v>271</v>
      </c>
      <c r="N135" s="29"/>
      <c r="O135" s="29"/>
    </row>
    <row r="136" ht="26.25" customHeight="1">
      <c r="A136" s="28" t="s">
        <v>172</v>
      </c>
      <c r="B136" s="68">
        <v>46152.0</v>
      </c>
      <c r="C136" s="28" t="s">
        <v>250</v>
      </c>
      <c r="D136" s="28" t="s">
        <v>88</v>
      </c>
      <c r="E136" s="40" t="s">
        <v>24</v>
      </c>
      <c r="F136" s="55">
        <v>46164.0</v>
      </c>
      <c r="G136" s="57">
        <v>-500.0</v>
      </c>
      <c r="H136" s="28"/>
      <c r="I136" s="96"/>
      <c r="J136" s="28" t="s">
        <v>275</v>
      </c>
      <c r="K136" s="28" t="s">
        <v>276</v>
      </c>
      <c r="L136" s="28" t="s">
        <v>32</v>
      </c>
      <c r="M136" s="28" t="s">
        <v>271</v>
      </c>
      <c r="N136" s="40"/>
      <c r="O136" s="40"/>
    </row>
    <row r="137" ht="26.25" customHeight="1">
      <c r="A137" s="28" t="s">
        <v>172</v>
      </c>
      <c r="B137" s="68">
        <v>46152.0</v>
      </c>
      <c r="C137" s="28" t="s">
        <v>250</v>
      </c>
      <c r="D137" s="28" t="s">
        <v>88</v>
      </c>
      <c r="E137" s="40" t="s">
        <v>24</v>
      </c>
      <c r="F137" s="55">
        <v>46164.0</v>
      </c>
      <c r="G137" s="57">
        <v>-800.0</v>
      </c>
      <c r="H137" s="28"/>
      <c r="I137" s="96"/>
      <c r="J137" s="28" t="s">
        <v>218</v>
      </c>
      <c r="K137" s="28" t="s">
        <v>277</v>
      </c>
      <c r="L137" s="28" t="s">
        <v>27</v>
      </c>
      <c r="M137" s="28" t="s">
        <v>271</v>
      </c>
      <c r="N137" s="40"/>
      <c r="O137" s="40"/>
    </row>
    <row r="138" ht="26.25" customHeight="1">
      <c r="A138" s="27" t="s">
        <v>172</v>
      </c>
      <c r="B138" s="26">
        <v>46152.0</v>
      </c>
      <c r="C138" s="27" t="s">
        <v>250</v>
      </c>
      <c r="D138" s="27" t="s">
        <v>88</v>
      </c>
      <c r="E138" s="29" t="s">
        <v>24</v>
      </c>
      <c r="F138" s="30">
        <v>46160.0</v>
      </c>
      <c r="G138" s="47">
        <v>-1000.0</v>
      </c>
      <c r="H138" s="28"/>
      <c r="I138" s="96"/>
      <c r="J138" s="27" t="s">
        <v>93</v>
      </c>
      <c r="K138" s="27" t="s">
        <v>278</v>
      </c>
      <c r="L138" s="27" t="s">
        <v>279</v>
      </c>
      <c r="M138" s="27" t="s">
        <v>271</v>
      </c>
      <c r="N138" s="29"/>
      <c r="O138" s="29"/>
    </row>
    <row r="139" ht="26.25" customHeight="1">
      <c r="A139" s="27" t="s">
        <v>172</v>
      </c>
      <c r="B139" s="26">
        <v>46152.0</v>
      </c>
      <c r="C139" s="27" t="s">
        <v>250</v>
      </c>
      <c r="D139" s="27" t="s">
        <v>88</v>
      </c>
      <c r="E139" s="29" t="s">
        <v>24</v>
      </c>
      <c r="F139" s="30">
        <v>46160.0</v>
      </c>
      <c r="G139" s="47">
        <v>-575.97</v>
      </c>
      <c r="H139" s="28"/>
      <c r="I139" s="96"/>
      <c r="J139" s="27" t="s">
        <v>95</v>
      </c>
      <c r="K139" s="27" t="s">
        <v>96</v>
      </c>
      <c r="L139" s="27" t="s">
        <v>97</v>
      </c>
      <c r="M139" s="27" t="s">
        <v>271</v>
      </c>
      <c r="N139" s="29"/>
      <c r="O139" s="29"/>
    </row>
    <row r="140" ht="26.25" customHeight="1">
      <c r="A140" s="42" t="s">
        <v>262</v>
      </c>
      <c r="B140" s="98">
        <v>46152.0</v>
      </c>
      <c r="C140" s="44" t="s">
        <v>250</v>
      </c>
      <c r="D140" s="44" t="s">
        <v>280</v>
      </c>
      <c r="E140" s="42" t="s">
        <v>44</v>
      </c>
      <c r="F140" s="43"/>
      <c r="G140" s="45"/>
      <c r="H140" s="44" t="s">
        <v>264</v>
      </c>
      <c r="I140" s="44"/>
      <c r="J140" s="42" t="s">
        <v>281</v>
      </c>
      <c r="K140" s="42"/>
      <c r="L140" s="44" t="s">
        <v>265</v>
      </c>
      <c r="M140" s="44" t="s">
        <v>261</v>
      </c>
      <c r="N140" s="42"/>
      <c r="O140" s="42"/>
    </row>
    <row r="141" ht="26.25" customHeight="1">
      <c r="A141" s="19" t="s">
        <v>282</v>
      </c>
      <c r="B141" s="51">
        <v>46164.0</v>
      </c>
      <c r="C141" s="19" t="s">
        <v>250</v>
      </c>
      <c r="D141" s="101" t="s">
        <v>51</v>
      </c>
      <c r="E141" s="36" t="s">
        <v>24</v>
      </c>
      <c r="F141" s="54"/>
      <c r="G141" s="52">
        <v>5183.15</v>
      </c>
      <c r="H141" s="19"/>
      <c r="I141" s="19"/>
      <c r="J141" s="19" t="s">
        <v>52</v>
      </c>
      <c r="K141" s="36"/>
      <c r="L141" s="19" t="s">
        <v>265</v>
      </c>
      <c r="M141" s="19" t="s">
        <v>283</v>
      </c>
      <c r="N141" s="36"/>
      <c r="O141" s="36"/>
    </row>
    <row r="142" ht="26.25" customHeight="1">
      <c r="A142" s="19" t="s">
        <v>282</v>
      </c>
      <c r="B142" s="51">
        <v>46164.0</v>
      </c>
      <c r="C142" s="19" t="s">
        <v>250</v>
      </c>
      <c r="D142" s="101" t="s">
        <v>51</v>
      </c>
      <c r="E142" s="36" t="s">
        <v>24</v>
      </c>
      <c r="F142" s="69">
        <v>46160.0</v>
      </c>
      <c r="G142" s="52">
        <v>700.0</v>
      </c>
      <c r="H142" s="19"/>
      <c r="I142" s="19"/>
      <c r="J142" s="19" t="s">
        <v>52</v>
      </c>
      <c r="K142" s="36"/>
      <c r="L142" s="19" t="s">
        <v>284</v>
      </c>
      <c r="M142" s="19" t="s">
        <v>283</v>
      </c>
      <c r="N142" s="36"/>
      <c r="O142" s="36"/>
    </row>
    <row r="143" ht="26.25" customHeight="1">
      <c r="A143" s="19" t="s">
        <v>282</v>
      </c>
      <c r="B143" s="51">
        <v>46164.0</v>
      </c>
      <c r="C143" s="19" t="s">
        <v>250</v>
      </c>
      <c r="D143" s="101" t="s">
        <v>51</v>
      </c>
      <c r="E143" s="36" t="s">
        <v>24</v>
      </c>
      <c r="F143" s="69">
        <v>46160.0</v>
      </c>
      <c r="G143" s="52">
        <v>505.0</v>
      </c>
      <c r="H143" s="19"/>
      <c r="I143" s="19"/>
      <c r="J143" s="19" t="s">
        <v>52</v>
      </c>
      <c r="K143" s="36"/>
      <c r="L143" s="19" t="s">
        <v>285</v>
      </c>
      <c r="M143" s="19" t="s">
        <v>283</v>
      </c>
      <c r="N143" s="36"/>
      <c r="O143" s="36"/>
    </row>
    <row r="144" ht="26.25" customHeight="1">
      <c r="A144" s="102" t="s">
        <v>282</v>
      </c>
      <c r="B144" s="103">
        <v>46164.0</v>
      </c>
      <c r="C144" s="102" t="s">
        <v>250</v>
      </c>
      <c r="D144" s="104" t="s">
        <v>51</v>
      </c>
      <c r="E144" s="105" t="s">
        <v>24</v>
      </c>
      <c r="F144" s="106"/>
      <c r="G144" s="107">
        <v>-300.0</v>
      </c>
      <c r="H144" s="102"/>
      <c r="I144" s="102"/>
      <c r="J144" s="102" t="s">
        <v>55</v>
      </c>
      <c r="K144" s="105"/>
      <c r="L144" s="102" t="s">
        <v>286</v>
      </c>
      <c r="M144" s="102" t="s">
        <v>283</v>
      </c>
      <c r="N144" s="105"/>
      <c r="O144" s="105"/>
    </row>
    <row r="145" ht="26.25" customHeight="1">
      <c r="A145" s="102" t="s">
        <v>282</v>
      </c>
      <c r="B145" s="103">
        <v>46164.0</v>
      </c>
      <c r="C145" s="102" t="s">
        <v>250</v>
      </c>
      <c r="D145" s="104" t="s">
        <v>51</v>
      </c>
      <c r="E145" s="105" t="s">
        <v>24</v>
      </c>
      <c r="F145" s="106"/>
      <c r="G145" s="107">
        <v>-500.0</v>
      </c>
      <c r="H145" s="102"/>
      <c r="I145" s="102"/>
      <c r="J145" s="102" t="s">
        <v>55</v>
      </c>
      <c r="K145" s="105"/>
      <c r="L145" s="102" t="s">
        <v>32</v>
      </c>
      <c r="M145" s="102" t="s">
        <v>283</v>
      </c>
      <c r="N145" s="105"/>
      <c r="O145" s="105"/>
    </row>
    <row r="146" ht="26.25" customHeight="1">
      <c r="A146" s="102" t="s">
        <v>282</v>
      </c>
      <c r="B146" s="103">
        <v>46164.0</v>
      </c>
      <c r="C146" s="102" t="s">
        <v>250</v>
      </c>
      <c r="D146" s="104" t="s">
        <v>51</v>
      </c>
      <c r="E146" s="105" t="s">
        <v>24</v>
      </c>
      <c r="F146" s="106"/>
      <c r="G146" s="107">
        <v>-2288.59</v>
      </c>
      <c r="H146" s="102"/>
      <c r="I146" s="102"/>
      <c r="J146" s="102" t="s">
        <v>59</v>
      </c>
      <c r="K146" s="105"/>
      <c r="L146" s="102" t="s">
        <v>287</v>
      </c>
      <c r="M146" s="102" t="s">
        <v>283</v>
      </c>
      <c r="N146" s="105"/>
      <c r="O146" s="105"/>
    </row>
    <row r="147" ht="26.25" customHeight="1">
      <c r="A147" s="102" t="s">
        <v>282</v>
      </c>
      <c r="B147" s="103">
        <v>46164.0</v>
      </c>
      <c r="C147" s="102" t="s">
        <v>250</v>
      </c>
      <c r="D147" s="104" t="s">
        <v>51</v>
      </c>
      <c r="E147" s="105" t="s">
        <v>24</v>
      </c>
      <c r="F147" s="106"/>
      <c r="G147" s="107">
        <v>-1050.0</v>
      </c>
      <c r="H147" s="102"/>
      <c r="I147" s="102"/>
      <c r="J147" s="102" t="s">
        <v>133</v>
      </c>
      <c r="K147" s="105"/>
      <c r="L147" s="102" t="s">
        <v>35</v>
      </c>
      <c r="M147" s="102" t="s">
        <v>283</v>
      </c>
      <c r="N147" s="105"/>
      <c r="O147" s="105"/>
    </row>
    <row r="148" ht="26.25" customHeight="1">
      <c r="A148" s="44" t="s">
        <v>288</v>
      </c>
      <c r="B148" s="108">
        <v>46179.0</v>
      </c>
      <c r="C148" s="44" t="s">
        <v>250</v>
      </c>
      <c r="D148" s="109" t="s">
        <v>289</v>
      </c>
      <c r="E148" s="42" t="s">
        <v>24</v>
      </c>
      <c r="F148" s="43"/>
      <c r="G148" s="110" t="s">
        <v>290</v>
      </c>
      <c r="H148" s="44"/>
      <c r="I148" s="44"/>
      <c r="J148" s="42"/>
      <c r="K148" s="42"/>
      <c r="L148" s="44" t="s">
        <v>265</v>
      </c>
      <c r="M148" s="44"/>
      <c r="N148" s="42"/>
      <c r="O148" s="42"/>
    </row>
    <row r="149" ht="26.25" hidden="1" customHeight="1">
      <c r="A149" s="44" t="s">
        <v>288</v>
      </c>
      <c r="B149" s="46">
        <v>46179.0</v>
      </c>
      <c r="C149" s="44" t="s">
        <v>291</v>
      </c>
      <c r="D149" s="42" t="s">
        <v>289</v>
      </c>
      <c r="E149" s="44" t="s">
        <v>24</v>
      </c>
      <c r="F149" s="108"/>
      <c r="G149" s="111"/>
      <c r="H149" s="100" t="s">
        <v>292</v>
      </c>
      <c r="I149" s="112"/>
      <c r="J149" s="42"/>
      <c r="K149" s="42"/>
      <c r="L149" s="44" t="s">
        <v>265</v>
      </c>
      <c r="M149" s="113" t="s">
        <v>293</v>
      </c>
      <c r="N149" s="42"/>
      <c r="O149" s="42"/>
    </row>
    <row r="150" ht="26.25" hidden="1" customHeight="1">
      <c r="A150" s="18" t="s">
        <v>77</v>
      </c>
      <c r="B150" s="17">
        <v>46084.0</v>
      </c>
      <c r="C150" s="18" t="s">
        <v>294</v>
      </c>
      <c r="D150" s="19" t="s">
        <v>295</v>
      </c>
      <c r="E150" s="22" t="s">
        <v>44</v>
      </c>
      <c r="F150" s="17"/>
      <c r="G150" s="24">
        <v>10000.0</v>
      </c>
      <c r="H150" s="19"/>
      <c r="I150" s="19"/>
      <c r="J150" s="19" t="s">
        <v>296</v>
      </c>
      <c r="K150" s="22"/>
      <c r="L150" s="18" t="s">
        <v>30</v>
      </c>
      <c r="M150" s="114" t="s">
        <v>297</v>
      </c>
      <c r="N150" s="22"/>
      <c r="O150" s="22"/>
    </row>
    <row r="151" ht="26.25" hidden="1" customHeight="1">
      <c r="A151" s="18" t="s">
        <v>77</v>
      </c>
      <c r="B151" s="17">
        <v>46084.0</v>
      </c>
      <c r="C151" s="18" t="s">
        <v>294</v>
      </c>
      <c r="D151" s="19" t="s">
        <v>295</v>
      </c>
      <c r="E151" s="22" t="s">
        <v>44</v>
      </c>
      <c r="F151" s="17"/>
      <c r="G151" s="24">
        <v>600.0</v>
      </c>
      <c r="H151" s="38"/>
      <c r="I151" s="38"/>
      <c r="J151" s="19" t="s">
        <v>296</v>
      </c>
      <c r="K151" s="22"/>
      <c r="L151" s="18" t="s">
        <v>27</v>
      </c>
      <c r="M151" s="114" t="s">
        <v>297</v>
      </c>
      <c r="N151" s="22"/>
      <c r="O151" s="22"/>
    </row>
    <row r="152" ht="26.25" hidden="1" customHeight="1">
      <c r="A152" s="27" t="s">
        <v>77</v>
      </c>
      <c r="B152" s="26">
        <v>46084.0</v>
      </c>
      <c r="C152" s="27" t="s">
        <v>294</v>
      </c>
      <c r="D152" s="28" t="s">
        <v>295</v>
      </c>
      <c r="E152" s="29" t="s">
        <v>44</v>
      </c>
      <c r="F152" s="26"/>
      <c r="G152" s="47" t="s">
        <v>119</v>
      </c>
      <c r="H152" s="32"/>
      <c r="I152" s="32"/>
      <c r="J152" s="28" t="s">
        <v>155</v>
      </c>
      <c r="K152" s="29"/>
      <c r="L152" s="27" t="s">
        <v>202</v>
      </c>
      <c r="M152" s="115" t="s">
        <v>297</v>
      </c>
      <c r="N152" s="29"/>
      <c r="O152" s="29"/>
    </row>
    <row r="153" ht="26.25" hidden="1" customHeight="1">
      <c r="A153" s="27" t="s">
        <v>77</v>
      </c>
      <c r="B153" s="26">
        <v>46084.0</v>
      </c>
      <c r="C153" s="27" t="s">
        <v>294</v>
      </c>
      <c r="D153" s="28" t="s">
        <v>295</v>
      </c>
      <c r="E153" s="29" t="s">
        <v>44</v>
      </c>
      <c r="F153" s="26"/>
      <c r="G153" s="47">
        <v>-600.0</v>
      </c>
      <c r="H153" s="32"/>
      <c r="I153" s="32"/>
      <c r="J153" s="28" t="s">
        <v>155</v>
      </c>
      <c r="K153" s="29"/>
      <c r="L153" s="27" t="s">
        <v>83</v>
      </c>
      <c r="M153" s="115" t="s">
        <v>297</v>
      </c>
      <c r="N153" s="29"/>
      <c r="O153" s="29"/>
    </row>
    <row r="154" ht="26.25" hidden="1" customHeight="1">
      <c r="A154" s="18" t="s">
        <v>298</v>
      </c>
      <c r="B154" s="17">
        <v>46086.0</v>
      </c>
      <c r="C154" s="18" t="s">
        <v>294</v>
      </c>
      <c r="D154" s="36" t="s">
        <v>299</v>
      </c>
      <c r="E154" s="22" t="s">
        <v>24</v>
      </c>
      <c r="F154" s="17"/>
      <c r="G154" s="87">
        <v>2430.37</v>
      </c>
      <c r="H154" s="19"/>
      <c r="I154" s="19"/>
      <c r="J154" s="19" t="s">
        <v>300</v>
      </c>
      <c r="K154" s="22"/>
      <c r="L154" s="18" t="s">
        <v>301</v>
      </c>
      <c r="M154" s="114" t="s">
        <v>302</v>
      </c>
      <c r="N154" s="22"/>
      <c r="O154" s="22"/>
    </row>
    <row r="155" ht="26.25" hidden="1" customHeight="1">
      <c r="A155" s="18" t="s">
        <v>298</v>
      </c>
      <c r="B155" s="17">
        <v>46086.0</v>
      </c>
      <c r="C155" s="18" t="s">
        <v>294</v>
      </c>
      <c r="D155" s="36" t="s">
        <v>299</v>
      </c>
      <c r="E155" s="22" t="s">
        <v>24</v>
      </c>
      <c r="F155" s="17"/>
      <c r="G155" s="87">
        <v>2475.0</v>
      </c>
      <c r="H155" s="19"/>
      <c r="I155" s="19"/>
      <c r="J155" s="19" t="s">
        <v>300</v>
      </c>
      <c r="K155" s="22"/>
      <c r="L155" s="18" t="s">
        <v>49</v>
      </c>
      <c r="M155" s="114" t="s">
        <v>302</v>
      </c>
      <c r="N155" s="22"/>
      <c r="O155" s="22"/>
    </row>
    <row r="156" ht="26.25" hidden="1" customHeight="1">
      <c r="A156" s="18" t="s">
        <v>298</v>
      </c>
      <c r="B156" s="17">
        <v>46086.0</v>
      </c>
      <c r="C156" s="18" t="s">
        <v>294</v>
      </c>
      <c r="D156" s="36" t="s">
        <v>299</v>
      </c>
      <c r="E156" s="22" t="s">
        <v>24</v>
      </c>
      <c r="F156" s="17"/>
      <c r="G156" s="87">
        <v>900.0</v>
      </c>
      <c r="H156" s="19"/>
      <c r="I156" s="19"/>
      <c r="J156" s="19" t="s">
        <v>300</v>
      </c>
      <c r="K156" s="22"/>
      <c r="L156" s="18" t="s">
        <v>27</v>
      </c>
      <c r="M156" s="114" t="s">
        <v>302</v>
      </c>
      <c r="N156" s="22"/>
      <c r="O156" s="22"/>
    </row>
    <row r="157" ht="26.25" hidden="1" customHeight="1">
      <c r="A157" s="27" t="s">
        <v>298</v>
      </c>
      <c r="B157" s="26">
        <v>46086.0</v>
      </c>
      <c r="C157" s="27" t="s">
        <v>294</v>
      </c>
      <c r="D157" s="40" t="s">
        <v>299</v>
      </c>
      <c r="E157" s="29" t="s">
        <v>24</v>
      </c>
      <c r="F157" s="26"/>
      <c r="G157" s="33">
        <v>-1050.0</v>
      </c>
      <c r="H157" s="32"/>
      <c r="I157" s="32"/>
      <c r="J157" s="28" t="s">
        <v>34</v>
      </c>
      <c r="K157" s="29"/>
      <c r="L157" s="67" t="s">
        <v>35</v>
      </c>
      <c r="M157" s="115" t="s">
        <v>302</v>
      </c>
      <c r="N157" s="29"/>
      <c r="O157" s="29"/>
    </row>
    <row r="158" ht="26.25" hidden="1" customHeight="1">
      <c r="A158" s="27" t="s">
        <v>298</v>
      </c>
      <c r="B158" s="26">
        <v>46086.0</v>
      </c>
      <c r="C158" s="27" t="s">
        <v>294</v>
      </c>
      <c r="D158" s="40" t="s">
        <v>299</v>
      </c>
      <c r="E158" s="29" t="s">
        <v>24</v>
      </c>
      <c r="F158" s="26"/>
      <c r="G158" s="33">
        <v>-1030.37</v>
      </c>
      <c r="H158" s="32"/>
      <c r="I158" s="32"/>
      <c r="J158" s="28" t="s">
        <v>34</v>
      </c>
      <c r="K158" s="29"/>
      <c r="L158" s="27" t="s">
        <v>303</v>
      </c>
      <c r="M158" s="115" t="s">
        <v>302</v>
      </c>
      <c r="N158" s="29"/>
      <c r="O158" s="29"/>
    </row>
    <row r="159" ht="26.25" hidden="1" customHeight="1">
      <c r="A159" s="27" t="s">
        <v>298</v>
      </c>
      <c r="B159" s="26">
        <v>46086.0</v>
      </c>
      <c r="C159" s="27" t="s">
        <v>294</v>
      </c>
      <c r="D159" s="40" t="s">
        <v>299</v>
      </c>
      <c r="E159" s="29" t="s">
        <v>24</v>
      </c>
      <c r="F159" s="26"/>
      <c r="G159" s="33">
        <v>-500.0</v>
      </c>
      <c r="H159" s="32"/>
      <c r="I159" s="32"/>
      <c r="J159" s="28" t="s">
        <v>31</v>
      </c>
      <c r="K159" s="29"/>
      <c r="L159" s="27" t="s">
        <v>32</v>
      </c>
      <c r="M159" s="115" t="s">
        <v>302</v>
      </c>
      <c r="N159" s="29"/>
      <c r="O159" s="29"/>
    </row>
    <row r="160" ht="26.25" hidden="1" customHeight="1">
      <c r="A160" s="27" t="s">
        <v>298</v>
      </c>
      <c r="B160" s="26">
        <v>46086.0</v>
      </c>
      <c r="C160" s="27" t="s">
        <v>294</v>
      </c>
      <c r="D160" s="40" t="s">
        <v>299</v>
      </c>
      <c r="E160" s="29" t="s">
        <v>24</v>
      </c>
      <c r="F160" s="26"/>
      <c r="G160" s="33">
        <v>-600.0</v>
      </c>
      <c r="H160" s="32"/>
      <c r="I160" s="32"/>
      <c r="J160" s="28" t="s">
        <v>31</v>
      </c>
      <c r="K160" s="29"/>
      <c r="L160" s="27" t="s">
        <v>27</v>
      </c>
      <c r="M160" s="115" t="s">
        <v>302</v>
      </c>
      <c r="N160" s="29"/>
      <c r="O160" s="29"/>
    </row>
    <row r="161" ht="26.25" hidden="1" customHeight="1">
      <c r="A161" s="27" t="s">
        <v>298</v>
      </c>
      <c r="B161" s="26">
        <v>46086.0</v>
      </c>
      <c r="C161" s="27" t="s">
        <v>294</v>
      </c>
      <c r="D161" s="40" t="s">
        <v>299</v>
      </c>
      <c r="E161" s="29" t="s">
        <v>24</v>
      </c>
      <c r="F161" s="26"/>
      <c r="G161" s="33">
        <v>-102.94</v>
      </c>
      <c r="H161" s="32"/>
      <c r="I161" s="32"/>
      <c r="J161" s="28" t="s">
        <v>31</v>
      </c>
      <c r="K161" s="29"/>
      <c r="L161" s="27" t="s">
        <v>247</v>
      </c>
      <c r="M161" s="115" t="s">
        <v>302</v>
      </c>
      <c r="N161" s="29"/>
      <c r="O161" s="29"/>
    </row>
    <row r="162" ht="26.25" hidden="1" customHeight="1">
      <c r="A162" s="18" t="s">
        <v>298</v>
      </c>
      <c r="B162" s="17">
        <v>46094.0</v>
      </c>
      <c r="C162" s="18" t="s">
        <v>294</v>
      </c>
      <c r="D162" s="36" t="s">
        <v>65</v>
      </c>
      <c r="E162" s="22" t="s">
        <v>165</v>
      </c>
      <c r="F162" s="93">
        <v>600.0</v>
      </c>
      <c r="G162" s="19"/>
      <c r="H162" s="38"/>
      <c r="I162" s="38"/>
      <c r="J162" s="19" t="s">
        <v>304</v>
      </c>
      <c r="K162" s="22"/>
      <c r="L162" s="18" t="s">
        <v>49</v>
      </c>
      <c r="M162" s="114" t="s">
        <v>305</v>
      </c>
      <c r="N162" s="22"/>
      <c r="O162" s="22"/>
    </row>
    <row r="163" ht="26.25" hidden="1" customHeight="1">
      <c r="A163" s="28" t="s">
        <v>50</v>
      </c>
      <c r="B163" s="68">
        <v>46095.0</v>
      </c>
      <c r="C163" s="28" t="s">
        <v>294</v>
      </c>
      <c r="D163" s="28" t="s">
        <v>306</v>
      </c>
      <c r="E163" s="60" t="s">
        <v>24</v>
      </c>
      <c r="F163" s="68"/>
      <c r="G163" s="33">
        <v>-1050.0</v>
      </c>
      <c r="H163" s="32"/>
      <c r="I163" s="32"/>
      <c r="J163" s="28" t="s">
        <v>34</v>
      </c>
      <c r="K163" s="60"/>
      <c r="L163" s="28" t="s">
        <v>35</v>
      </c>
      <c r="M163" s="116" t="s">
        <v>307</v>
      </c>
      <c r="N163" s="117"/>
      <c r="O163" s="60"/>
    </row>
    <row r="164" ht="26.25" hidden="1" customHeight="1">
      <c r="A164" s="28" t="s">
        <v>50</v>
      </c>
      <c r="B164" s="68">
        <v>46095.0</v>
      </c>
      <c r="C164" s="28" t="s">
        <v>294</v>
      </c>
      <c r="D164" s="28" t="s">
        <v>306</v>
      </c>
      <c r="E164" s="60" t="s">
        <v>24</v>
      </c>
      <c r="F164" s="68"/>
      <c r="G164" s="57">
        <v>-500.0</v>
      </c>
      <c r="H164" s="28"/>
      <c r="I164" s="28"/>
      <c r="J164" s="28" t="s">
        <v>55</v>
      </c>
      <c r="K164" s="60"/>
      <c r="L164" s="28" t="s">
        <v>32</v>
      </c>
      <c r="M164" s="116" t="s">
        <v>307</v>
      </c>
      <c r="N164" s="117"/>
      <c r="O164" s="60"/>
    </row>
    <row r="165" ht="26.25" hidden="1" customHeight="1">
      <c r="A165" s="19" t="s">
        <v>50</v>
      </c>
      <c r="B165" s="54">
        <v>46095.0</v>
      </c>
      <c r="C165" s="18" t="s">
        <v>294</v>
      </c>
      <c r="D165" s="19" t="s">
        <v>306</v>
      </c>
      <c r="E165" s="64" t="s">
        <v>24</v>
      </c>
      <c r="F165" s="54"/>
      <c r="G165" s="52">
        <v>8570.0</v>
      </c>
      <c r="H165" s="19"/>
      <c r="I165" s="19"/>
      <c r="J165" s="19" t="s">
        <v>308</v>
      </c>
      <c r="K165" s="64"/>
      <c r="L165" s="19" t="s">
        <v>309</v>
      </c>
      <c r="M165" s="118" t="s">
        <v>307</v>
      </c>
      <c r="N165" s="119"/>
      <c r="O165" s="64"/>
    </row>
    <row r="166" ht="26.25" hidden="1" customHeight="1">
      <c r="A166" s="64" t="s">
        <v>310</v>
      </c>
      <c r="B166" s="120">
        <v>46101.0</v>
      </c>
      <c r="C166" s="18" t="s">
        <v>294</v>
      </c>
      <c r="D166" s="64" t="s">
        <v>51</v>
      </c>
      <c r="E166" s="64" t="s">
        <v>24</v>
      </c>
      <c r="F166" s="54"/>
      <c r="G166" s="52">
        <v>810.0</v>
      </c>
      <c r="H166" s="19"/>
      <c r="I166" s="19"/>
      <c r="J166" s="19" t="s">
        <v>52</v>
      </c>
      <c r="K166" s="64"/>
      <c r="L166" s="19" t="s">
        <v>49</v>
      </c>
      <c r="M166" s="118" t="s">
        <v>311</v>
      </c>
      <c r="N166" s="119"/>
      <c r="O166" s="64"/>
    </row>
    <row r="167" ht="26.25" hidden="1" customHeight="1">
      <c r="A167" s="64" t="s">
        <v>310</v>
      </c>
      <c r="B167" s="120">
        <v>46101.0</v>
      </c>
      <c r="C167" s="18" t="s">
        <v>294</v>
      </c>
      <c r="D167" s="64" t="s">
        <v>51</v>
      </c>
      <c r="E167" s="64" t="s">
        <v>24</v>
      </c>
      <c r="F167" s="17"/>
      <c r="G167" s="52">
        <v>600.0</v>
      </c>
      <c r="H167" s="38"/>
      <c r="I167" s="38"/>
      <c r="J167" s="19" t="s">
        <v>52</v>
      </c>
      <c r="K167" s="22"/>
      <c r="L167" s="18" t="s">
        <v>27</v>
      </c>
      <c r="M167" s="118" t="s">
        <v>311</v>
      </c>
      <c r="N167" s="22"/>
      <c r="O167" s="22"/>
    </row>
    <row r="168" ht="26.25" hidden="1" customHeight="1">
      <c r="A168" s="60" t="s">
        <v>310</v>
      </c>
      <c r="B168" s="121">
        <v>46101.0</v>
      </c>
      <c r="C168" s="28" t="s">
        <v>294</v>
      </c>
      <c r="D168" s="60" t="s">
        <v>51</v>
      </c>
      <c r="E168" s="60" t="s">
        <v>24</v>
      </c>
      <c r="F168" s="26"/>
      <c r="G168" s="33">
        <v>-1050.0</v>
      </c>
      <c r="H168" s="32"/>
      <c r="I168" s="32"/>
      <c r="J168" s="28" t="s">
        <v>34</v>
      </c>
      <c r="K168" s="29"/>
      <c r="L168" s="27" t="s">
        <v>35</v>
      </c>
      <c r="M168" s="116" t="s">
        <v>311</v>
      </c>
      <c r="N168" s="29"/>
      <c r="O168" s="29"/>
    </row>
    <row r="169" ht="26.25" hidden="1" customHeight="1">
      <c r="A169" s="60" t="s">
        <v>310</v>
      </c>
      <c r="B169" s="121">
        <v>46101.0</v>
      </c>
      <c r="C169" s="28" t="s">
        <v>294</v>
      </c>
      <c r="D169" s="60" t="s">
        <v>51</v>
      </c>
      <c r="E169" s="60" t="s">
        <v>24</v>
      </c>
      <c r="F169" s="26"/>
      <c r="G169" s="33">
        <v>-469.38</v>
      </c>
      <c r="H169" s="32"/>
      <c r="I169" s="32"/>
      <c r="J169" s="28" t="s">
        <v>312</v>
      </c>
      <c r="K169" s="29"/>
      <c r="L169" s="27" t="s">
        <v>313</v>
      </c>
      <c r="M169" s="116" t="s">
        <v>311</v>
      </c>
      <c r="N169" s="29"/>
      <c r="O169" s="29"/>
    </row>
    <row r="170" ht="26.25" hidden="1" customHeight="1">
      <c r="A170" s="60" t="s">
        <v>310</v>
      </c>
      <c r="B170" s="121">
        <v>46101.0</v>
      </c>
      <c r="C170" s="28" t="s">
        <v>294</v>
      </c>
      <c r="D170" s="60" t="s">
        <v>51</v>
      </c>
      <c r="E170" s="60" t="s">
        <v>24</v>
      </c>
      <c r="F170" s="26"/>
      <c r="G170" s="33">
        <v>-600.0</v>
      </c>
      <c r="H170" s="32"/>
      <c r="I170" s="32"/>
      <c r="J170" s="28" t="s">
        <v>31</v>
      </c>
      <c r="K170" s="29"/>
      <c r="L170" s="27" t="s">
        <v>27</v>
      </c>
      <c r="M170" s="116" t="s">
        <v>311</v>
      </c>
      <c r="N170" s="29"/>
      <c r="O170" s="29"/>
    </row>
    <row r="171" ht="26.25" hidden="1" customHeight="1">
      <c r="A171" s="60" t="s">
        <v>310</v>
      </c>
      <c r="B171" s="121">
        <v>46101.0</v>
      </c>
      <c r="C171" s="28" t="s">
        <v>294</v>
      </c>
      <c r="D171" s="60" t="s">
        <v>51</v>
      </c>
      <c r="E171" s="60" t="s">
        <v>24</v>
      </c>
      <c r="F171" s="26"/>
      <c r="G171" s="33">
        <v>-500.0</v>
      </c>
      <c r="H171" s="32"/>
      <c r="I171" s="32"/>
      <c r="J171" s="28" t="s">
        <v>31</v>
      </c>
      <c r="K171" s="29"/>
      <c r="L171" s="27" t="s">
        <v>32</v>
      </c>
      <c r="M171" s="116" t="s">
        <v>311</v>
      </c>
      <c r="N171" s="29"/>
      <c r="O171" s="29"/>
    </row>
    <row r="172" ht="26.25" hidden="1" customHeight="1">
      <c r="A172" s="18" t="s">
        <v>16</v>
      </c>
      <c r="B172" s="17">
        <v>46104.0</v>
      </c>
      <c r="C172" s="18" t="s">
        <v>294</v>
      </c>
      <c r="D172" s="36" t="s">
        <v>314</v>
      </c>
      <c r="E172" s="22" t="s">
        <v>165</v>
      </c>
      <c r="F172" s="122">
        <v>46084.0</v>
      </c>
      <c r="G172" s="122"/>
      <c r="H172" s="93">
        <v>1500.0</v>
      </c>
      <c r="I172" s="93"/>
      <c r="J172" s="36" t="s">
        <v>314</v>
      </c>
      <c r="K172" s="22"/>
      <c r="L172" s="18" t="s">
        <v>49</v>
      </c>
      <c r="M172" s="114" t="s">
        <v>315</v>
      </c>
      <c r="N172" s="22"/>
      <c r="O172" s="22"/>
    </row>
    <row r="173" ht="26.25" customHeight="1">
      <c r="A173" s="44" t="s">
        <v>155</v>
      </c>
      <c r="B173" s="46">
        <v>46185.0</v>
      </c>
      <c r="C173" s="44" t="s">
        <v>250</v>
      </c>
      <c r="D173" s="42" t="s">
        <v>316</v>
      </c>
      <c r="E173" s="42" t="s">
        <v>44</v>
      </c>
      <c r="F173" s="108"/>
      <c r="G173" s="108"/>
      <c r="H173" s="100">
        <v>375.0</v>
      </c>
      <c r="I173" s="100"/>
      <c r="J173" s="42"/>
      <c r="K173" s="42"/>
      <c r="L173" s="44" t="s">
        <v>317</v>
      </c>
      <c r="M173" s="123"/>
      <c r="N173" s="42"/>
      <c r="O173" s="42"/>
    </row>
    <row r="174" ht="26.25" customHeight="1">
      <c r="A174" s="44" t="s">
        <v>155</v>
      </c>
      <c r="B174" s="46">
        <v>46191.0</v>
      </c>
      <c r="C174" s="44" t="s">
        <v>250</v>
      </c>
      <c r="D174" s="42" t="s">
        <v>318</v>
      </c>
      <c r="E174" s="42" t="s">
        <v>44</v>
      </c>
      <c r="F174" s="108"/>
      <c r="G174" s="108"/>
      <c r="H174" s="100">
        <v>405.0</v>
      </c>
      <c r="I174" s="100"/>
      <c r="J174" s="42"/>
      <c r="K174" s="42"/>
      <c r="L174" s="44" t="s">
        <v>317</v>
      </c>
      <c r="M174" s="123"/>
      <c r="N174" s="42"/>
      <c r="O174" s="42"/>
    </row>
    <row r="175" ht="26.25" customHeight="1">
      <c r="A175" s="44" t="s">
        <v>163</v>
      </c>
      <c r="B175" s="46">
        <v>46198.0</v>
      </c>
      <c r="C175" s="44" t="s">
        <v>250</v>
      </c>
      <c r="D175" s="42" t="s">
        <v>299</v>
      </c>
      <c r="E175" s="42" t="s">
        <v>24</v>
      </c>
      <c r="F175" s="108"/>
      <c r="G175" s="108"/>
      <c r="H175" s="100">
        <v>300.0</v>
      </c>
      <c r="I175" s="100"/>
      <c r="J175" s="42"/>
      <c r="K175" s="42"/>
      <c r="L175" s="44" t="s">
        <v>265</v>
      </c>
      <c r="M175" s="123"/>
      <c r="N175" s="42"/>
      <c r="O175" s="42"/>
    </row>
    <row r="176" ht="26.25" customHeight="1">
      <c r="A176" s="44" t="s">
        <v>319</v>
      </c>
      <c r="B176" s="46">
        <v>46199.0</v>
      </c>
      <c r="C176" s="44" t="s">
        <v>250</v>
      </c>
      <c r="D176" s="42" t="s">
        <v>320</v>
      </c>
      <c r="E176" s="42" t="s">
        <v>24</v>
      </c>
      <c r="F176" s="108"/>
      <c r="G176" s="108"/>
      <c r="H176" s="100">
        <v>1800.0</v>
      </c>
      <c r="I176" s="100"/>
      <c r="J176" s="42"/>
      <c r="K176" s="42"/>
      <c r="L176" s="44" t="s">
        <v>265</v>
      </c>
      <c r="M176" s="123"/>
      <c r="N176" s="42"/>
      <c r="O176" s="42"/>
    </row>
    <row r="177" ht="26.25" customHeight="1">
      <c r="A177" s="44" t="s">
        <v>319</v>
      </c>
      <c r="B177" s="46">
        <v>46200.0</v>
      </c>
      <c r="C177" s="44" t="s">
        <v>250</v>
      </c>
      <c r="D177" s="42" t="s">
        <v>321</v>
      </c>
      <c r="E177" s="42" t="s">
        <v>24</v>
      </c>
      <c r="F177" s="108"/>
      <c r="G177" s="108"/>
      <c r="H177" s="100">
        <v>2700.0</v>
      </c>
      <c r="I177" s="100"/>
      <c r="J177" s="42"/>
      <c r="K177" s="42"/>
      <c r="L177" s="44" t="s">
        <v>265</v>
      </c>
      <c r="M177" s="123"/>
      <c r="N177" s="42"/>
      <c r="O177" s="42"/>
    </row>
    <row r="178" ht="26.25" customHeight="1">
      <c r="A178" s="44" t="s">
        <v>163</v>
      </c>
      <c r="B178" s="46">
        <v>46200.0</v>
      </c>
      <c r="C178" s="44" t="s">
        <v>250</v>
      </c>
      <c r="D178" s="42" t="s">
        <v>321</v>
      </c>
      <c r="E178" s="42" t="s">
        <v>24</v>
      </c>
      <c r="F178" s="108"/>
      <c r="G178" s="108"/>
      <c r="H178" s="100">
        <v>675.0</v>
      </c>
      <c r="I178" s="100"/>
      <c r="J178" s="42"/>
      <c r="K178" s="42"/>
      <c r="L178" s="44" t="s">
        <v>265</v>
      </c>
      <c r="M178" s="123"/>
      <c r="N178" s="42"/>
      <c r="O178" s="42"/>
    </row>
    <row r="179" ht="26.25" hidden="1" customHeight="1">
      <c r="A179" s="102" t="s">
        <v>288</v>
      </c>
      <c r="B179" s="124">
        <v>46179.0</v>
      </c>
      <c r="C179" s="102" t="s">
        <v>291</v>
      </c>
      <c r="D179" s="105" t="s">
        <v>289</v>
      </c>
      <c r="E179" s="102" t="s">
        <v>24</v>
      </c>
      <c r="F179" s="103"/>
      <c r="G179" s="125">
        <v>-550.0</v>
      </c>
      <c r="H179" s="126"/>
      <c r="I179" s="127"/>
      <c r="J179" s="105"/>
      <c r="K179" s="105"/>
      <c r="L179" s="102" t="s">
        <v>32</v>
      </c>
      <c r="M179" s="113" t="s">
        <v>293</v>
      </c>
      <c r="N179" s="105"/>
      <c r="O179" s="105"/>
    </row>
    <row r="180" ht="26.25" hidden="1" customHeight="1">
      <c r="A180" s="44" t="s">
        <v>155</v>
      </c>
      <c r="B180" s="46">
        <v>46185.0</v>
      </c>
      <c r="C180" s="44" t="s">
        <v>291</v>
      </c>
      <c r="D180" s="42" t="s">
        <v>316</v>
      </c>
      <c r="E180" s="44" t="s">
        <v>44</v>
      </c>
      <c r="F180" s="108"/>
      <c r="G180" s="111"/>
      <c r="H180" s="100">
        <v>375.0</v>
      </c>
      <c r="I180" s="112"/>
      <c r="J180" s="42"/>
      <c r="K180" s="42"/>
      <c r="L180" s="44" t="s">
        <v>265</v>
      </c>
      <c r="M180" s="118" t="s">
        <v>322</v>
      </c>
      <c r="N180" s="42"/>
      <c r="O180" s="42"/>
    </row>
    <row r="181" ht="26.25" hidden="1" customHeight="1">
      <c r="A181" s="44" t="s">
        <v>155</v>
      </c>
      <c r="B181" s="46">
        <v>46191.0</v>
      </c>
      <c r="C181" s="44" t="s">
        <v>291</v>
      </c>
      <c r="D181" s="42" t="s">
        <v>318</v>
      </c>
      <c r="E181" s="44" t="s">
        <v>44</v>
      </c>
      <c r="F181" s="108"/>
      <c r="G181" s="111"/>
      <c r="H181" s="100">
        <v>405.0</v>
      </c>
      <c r="I181" s="112"/>
      <c r="J181" s="42"/>
      <c r="K181" s="42"/>
      <c r="L181" s="44" t="s">
        <v>265</v>
      </c>
      <c r="M181" s="118" t="s">
        <v>323</v>
      </c>
      <c r="N181" s="42"/>
      <c r="O181" s="42"/>
    </row>
    <row r="182" ht="26.25" hidden="1" customHeight="1">
      <c r="A182" s="44" t="s">
        <v>163</v>
      </c>
      <c r="B182" s="46">
        <v>46198.0</v>
      </c>
      <c r="C182" s="44" t="s">
        <v>291</v>
      </c>
      <c r="D182" s="42" t="s">
        <v>299</v>
      </c>
      <c r="E182" s="44" t="s">
        <v>24</v>
      </c>
      <c r="F182" s="108"/>
      <c r="G182" s="111"/>
      <c r="H182" s="100">
        <v>300.0</v>
      </c>
      <c r="I182" s="112"/>
      <c r="J182" s="42"/>
      <c r="K182" s="42"/>
      <c r="L182" s="44" t="s">
        <v>265</v>
      </c>
      <c r="M182" s="128" t="s">
        <v>293</v>
      </c>
      <c r="N182" s="42"/>
      <c r="O182" s="42"/>
    </row>
    <row r="183" ht="26.25" hidden="1" customHeight="1">
      <c r="A183" s="44" t="s">
        <v>163</v>
      </c>
      <c r="B183" s="46">
        <v>46198.0</v>
      </c>
      <c r="C183" s="44" t="s">
        <v>291</v>
      </c>
      <c r="D183" s="42" t="s">
        <v>299</v>
      </c>
      <c r="E183" s="44" t="s">
        <v>24</v>
      </c>
      <c r="F183" s="108"/>
      <c r="G183" s="129">
        <v>1600.0</v>
      </c>
      <c r="H183" s="100"/>
      <c r="I183" s="112"/>
      <c r="J183" s="42"/>
      <c r="K183" s="42"/>
      <c r="L183" s="44" t="s">
        <v>324</v>
      </c>
      <c r="M183" s="128" t="s">
        <v>293</v>
      </c>
      <c r="N183" s="42"/>
      <c r="O183" s="42"/>
    </row>
    <row r="184" ht="26.25" hidden="1" customHeight="1">
      <c r="A184" s="44" t="s">
        <v>163</v>
      </c>
      <c r="B184" s="46">
        <v>46198.0</v>
      </c>
      <c r="C184" s="44" t="s">
        <v>291</v>
      </c>
      <c r="D184" s="42" t="s">
        <v>299</v>
      </c>
      <c r="E184" s="44" t="s">
        <v>24</v>
      </c>
      <c r="F184" s="108"/>
      <c r="G184" s="129">
        <v>600.0</v>
      </c>
      <c r="H184" s="100"/>
      <c r="I184" s="112"/>
      <c r="J184" s="42"/>
      <c r="K184" s="42"/>
      <c r="L184" s="44" t="s">
        <v>285</v>
      </c>
      <c r="M184" s="128" t="s">
        <v>293</v>
      </c>
      <c r="N184" s="42"/>
      <c r="O184" s="42"/>
    </row>
    <row r="185" ht="26.25" hidden="1" customHeight="1">
      <c r="A185" s="102" t="s">
        <v>163</v>
      </c>
      <c r="B185" s="124">
        <v>46198.0</v>
      </c>
      <c r="C185" s="102" t="s">
        <v>291</v>
      </c>
      <c r="D185" s="105" t="s">
        <v>299</v>
      </c>
      <c r="E185" s="102" t="s">
        <v>24</v>
      </c>
      <c r="F185" s="103"/>
      <c r="G185" s="125">
        <v>-550.0</v>
      </c>
      <c r="H185" s="126"/>
      <c r="I185" s="127"/>
      <c r="J185" s="105"/>
      <c r="K185" s="105"/>
      <c r="L185" s="102" t="s">
        <v>32</v>
      </c>
      <c r="M185" s="128" t="s">
        <v>293</v>
      </c>
      <c r="N185" s="105"/>
      <c r="O185" s="105"/>
    </row>
    <row r="186" ht="26.25" hidden="1" customHeight="1">
      <c r="A186" s="102" t="s">
        <v>163</v>
      </c>
      <c r="B186" s="124">
        <v>46198.0</v>
      </c>
      <c r="C186" s="102" t="s">
        <v>291</v>
      </c>
      <c r="D186" s="105" t="s">
        <v>299</v>
      </c>
      <c r="E186" s="102" t="s">
        <v>24</v>
      </c>
      <c r="F186" s="103"/>
      <c r="G186" s="125">
        <v>-1000.0</v>
      </c>
      <c r="H186" s="126"/>
      <c r="I186" s="127"/>
      <c r="J186" s="105"/>
      <c r="K186" s="105"/>
      <c r="L186" s="102" t="s">
        <v>325</v>
      </c>
      <c r="M186" s="128" t="s">
        <v>293</v>
      </c>
      <c r="N186" s="105"/>
      <c r="O186" s="105"/>
    </row>
    <row r="187" ht="26.25" hidden="1" customHeight="1">
      <c r="A187" s="44" t="s">
        <v>319</v>
      </c>
      <c r="B187" s="46">
        <v>46199.0</v>
      </c>
      <c r="C187" s="44" t="s">
        <v>291</v>
      </c>
      <c r="D187" s="42" t="s">
        <v>320</v>
      </c>
      <c r="E187" s="44" t="s">
        <v>24</v>
      </c>
      <c r="F187" s="108"/>
      <c r="G187" s="129"/>
      <c r="H187" s="100">
        <v>1800.0</v>
      </c>
      <c r="I187" s="112"/>
      <c r="J187" s="42"/>
      <c r="K187" s="42"/>
      <c r="L187" s="44" t="s">
        <v>265</v>
      </c>
      <c r="M187" s="128" t="s">
        <v>293</v>
      </c>
      <c r="N187" s="42"/>
      <c r="O187" s="42"/>
    </row>
    <row r="188" ht="26.25" hidden="1" customHeight="1">
      <c r="A188" s="44" t="s">
        <v>319</v>
      </c>
      <c r="B188" s="46">
        <v>46199.0</v>
      </c>
      <c r="C188" s="44" t="s">
        <v>291</v>
      </c>
      <c r="D188" s="42" t="s">
        <v>320</v>
      </c>
      <c r="E188" s="44" t="s">
        <v>24</v>
      </c>
      <c r="F188" s="108"/>
      <c r="G188" s="129">
        <v>1600.0</v>
      </c>
      <c r="H188" s="100"/>
      <c r="I188" s="112"/>
      <c r="J188" s="42"/>
      <c r="K188" s="42"/>
      <c r="L188" s="44" t="s">
        <v>324</v>
      </c>
      <c r="M188" s="128" t="s">
        <v>293</v>
      </c>
      <c r="N188" s="42"/>
      <c r="O188" s="42"/>
    </row>
    <row r="189" ht="26.25" hidden="1" customHeight="1">
      <c r="A189" s="44" t="s">
        <v>319</v>
      </c>
      <c r="B189" s="46">
        <v>46199.0</v>
      </c>
      <c r="C189" s="44" t="s">
        <v>291</v>
      </c>
      <c r="D189" s="42" t="s">
        <v>320</v>
      </c>
      <c r="E189" s="44" t="s">
        <v>24</v>
      </c>
      <c r="F189" s="108"/>
      <c r="G189" s="129" t="s">
        <v>326</v>
      </c>
      <c r="H189" s="100"/>
      <c r="I189" s="112"/>
      <c r="J189" s="42"/>
      <c r="K189" s="42"/>
      <c r="L189" s="44" t="s">
        <v>285</v>
      </c>
      <c r="M189" s="128" t="s">
        <v>293</v>
      </c>
      <c r="N189" s="42"/>
      <c r="O189" s="42"/>
    </row>
    <row r="190" ht="26.25" hidden="1" customHeight="1">
      <c r="A190" s="102" t="s">
        <v>319</v>
      </c>
      <c r="B190" s="124">
        <v>46199.0</v>
      </c>
      <c r="C190" s="102" t="s">
        <v>291</v>
      </c>
      <c r="D190" s="105" t="s">
        <v>320</v>
      </c>
      <c r="E190" s="102" t="s">
        <v>24</v>
      </c>
      <c r="F190" s="103"/>
      <c r="G190" s="125">
        <v>-500.0</v>
      </c>
      <c r="H190" s="126"/>
      <c r="I190" s="127"/>
      <c r="J190" s="105"/>
      <c r="K190" s="105"/>
      <c r="L190" s="102" t="s">
        <v>32</v>
      </c>
      <c r="M190" s="128" t="s">
        <v>293</v>
      </c>
      <c r="N190" s="105"/>
      <c r="O190" s="105"/>
    </row>
    <row r="191" ht="26.25" hidden="1" customHeight="1">
      <c r="A191" s="102" t="s">
        <v>319</v>
      </c>
      <c r="B191" s="124">
        <v>46199.0</v>
      </c>
      <c r="C191" s="102" t="s">
        <v>291</v>
      </c>
      <c r="D191" s="105" t="s">
        <v>320</v>
      </c>
      <c r="E191" s="102" t="s">
        <v>24</v>
      </c>
      <c r="F191" s="103"/>
      <c r="G191" s="125">
        <v>-1000.0</v>
      </c>
      <c r="H191" s="126"/>
      <c r="I191" s="127"/>
      <c r="J191" s="105"/>
      <c r="K191" s="105"/>
      <c r="L191" s="102" t="s">
        <v>325</v>
      </c>
      <c r="M191" s="128" t="s">
        <v>293</v>
      </c>
      <c r="N191" s="105"/>
      <c r="O191" s="105"/>
    </row>
    <row r="192" ht="26.25" hidden="1" customHeight="1">
      <c r="A192" s="44" t="s">
        <v>319</v>
      </c>
      <c r="B192" s="46">
        <v>46200.0</v>
      </c>
      <c r="C192" s="44" t="s">
        <v>291</v>
      </c>
      <c r="D192" s="42" t="s">
        <v>321</v>
      </c>
      <c r="E192" s="44" t="s">
        <v>24</v>
      </c>
      <c r="F192" s="108"/>
      <c r="G192" s="111"/>
      <c r="H192" s="100">
        <v>2700.0</v>
      </c>
      <c r="I192" s="112"/>
      <c r="J192" s="42"/>
      <c r="K192" s="42"/>
      <c r="L192" s="44" t="s">
        <v>265</v>
      </c>
      <c r="M192" s="128" t="s">
        <v>293</v>
      </c>
      <c r="N192" s="42"/>
      <c r="O192" s="42"/>
    </row>
    <row r="193" ht="26.25" hidden="1" customHeight="1">
      <c r="A193" s="44" t="s">
        <v>319</v>
      </c>
      <c r="B193" s="46">
        <v>46200.0</v>
      </c>
      <c r="C193" s="44" t="s">
        <v>291</v>
      </c>
      <c r="D193" s="42" t="s">
        <v>321</v>
      </c>
      <c r="E193" s="44" t="s">
        <v>24</v>
      </c>
      <c r="F193" s="108"/>
      <c r="G193" s="129">
        <v>1600.0</v>
      </c>
      <c r="H193" s="100"/>
      <c r="I193" s="112"/>
      <c r="J193" s="42"/>
      <c r="K193" s="42"/>
      <c r="L193" s="44" t="s">
        <v>324</v>
      </c>
      <c r="M193" s="128" t="s">
        <v>293</v>
      </c>
      <c r="N193" s="42"/>
      <c r="O193" s="42"/>
    </row>
    <row r="194" ht="26.25" hidden="1" customHeight="1">
      <c r="A194" s="44" t="s">
        <v>319</v>
      </c>
      <c r="B194" s="46">
        <v>46200.0</v>
      </c>
      <c r="C194" s="44" t="s">
        <v>291</v>
      </c>
      <c r="D194" s="42" t="s">
        <v>321</v>
      </c>
      <c r="E194" s="44" t="s">
        <v>24</v>
      </c>
      <c r="F194" s="108"/>
      <c r="G194" s="129" t="s">
        <v>326</v>
      </c>
      <c r="H194" s="100"/>
      <c r="I194" s="112"/>
      <c r="J194" s="42"/>
      <c r="K194" s="42"/>
      <c r="L194" s="44" t="s">
        <v>285</v>
      </c>
      <c r="M194" s="128" t="s">
        <v>293</v>
      </c>
      <c r="N194" s="42"/>
      <c r="O194" s="42"/>
    </row>
    <row r="195" ht="26.25" hidden="1" customHeight="1">
      <c r="A195" s="102" t="s">
        <v>319</v>
      </c>
      <c r="B195" s="124">
        <v>46200.0</v>
      </c>
      <c r="C195" s="102" t="s">
        <v>291</v>
      </c>
      <c r="D195" s="105" t="s">
        <v>321</v>
      </c>
      <c r="E195" s="102" t="s">
        <v>24</v>
      </c>
      <c r="F195" s="103"/>
      <c r="G195" s="125">
        <v>-550.0</v>
      </c>
      <c r="H195" s="126"/>
      <c r="I195" s="127"/>
      <c r="J195" s="105"/>
      <c r="K195" s="105"/>
      <c r="L195" s="102" t="s">
        <v>32</v>
      </c>
      <c r="M195" s="128" t="s">
        <v>293</v>
      </c>
      <c r="N195" s="105"/>
      <c r="O195" s="105"/>
    </row>
    <row r="196" ht="26.25" hidden="1" customHeight="1">
      <c r="A196" s="102" t="s">
        <v>319</v>
      </c>
      <c r="B196" s="124">
        <v>46200.0</v>
      </c>
      <c r="C196" s="102" t="s">
        <v>291</v>
      </c>
      <c r="D196" s="105" t="s">
        <v>321</v>
      </c>
      <c r="E196" s="102" t="s">
        <v>24</v>
      </c>
      <c r="F196" s="103"/>
      <c r="G196" s="125">
        <v>-1000.0</v>
      </c>
      <c r="H196" s="126"/>
      <c r="I196" s="127"/>
      <c r="J196" s="105"/>
      <c r="K196" s="105"/>
      <c r="L196" s="102" t="s">
        <v>325</v>
      </c>
      <c r="M196" s="128" t="s">
        <v>293</v>
      </c>
      <c r="N196" s="105"/>
      <c r="O196" s="105"/>
    </row>
    <row r="197" ht="26.25" hidden="1" customHeight="1">
      <c r="A197" s="44" t="s">
        <v>163</v>
      </c>
      <c r="B197" s="46">
        <v>46200.0</v>
      </c>
      <c r="C197" s="44" t="s">
        <v>291</v>
      </c>
      <c r="D197" s="42" t="s">
        <v>321</v>
      </c>
      <c r="E197" s="44" t="s">
        <v>24</v>
      </c>
      <c r="F197" s="108"/>
      <c r="G197" s="111"/>
      <c r="H197" s="100">
        <v>675.0</v>
      </c>
      <c r="I197" s="112"/>
      <c r="J197" s="42"/>
      <c r="K197" s="42"/>
      <c r="L197" s="44" t="s">
        <v>265</v>
      </c>
      <c r="M197" s="130" t="s">
        <v>327</v>
      </c>
      <c r="N197" s="42"/>
      <c r="O197" s="42"/>
    </row>
    <row r="198" ht="26.25" hidden="1" customHeight="1">
      <c r="A198" s="44" t="s">
        <v>163</v>
      </c>
      <c r="B198" s="46">
        <v>46200.0</v>
      </c>
      <c r="C198" s="44" t="s">
        <v>291</v>
      </c>
      <c r="D198" s="42" t="s">
        <v>321</v>
      </c>
      <c r="E198" s="44" t="s">
        <v>24</v>
      </c>
      <c r="F198" s="108"/>
      <c r="G198" s="129">
        <v>1600.0</v>
      </c>
      <c r="H198" s="100"/>
      <c r="I198" s="112"/>
      <c r="J198" s="42"/>
      <c r="K198" s="42"/>
      <c r="L198" s="44" t="s">
        <v>324</v>
      </c>
      <c r="M198" s="130" t="s">
        <v>327</v>
      </c>
      <c r="N198" s="42"/>
      <c r="O198" s="42"/>
    </row>
    <row r="199" ht="26.25" hidden="1" customHeight="1">
      <c r="A199" s="44" t="s">
        <v>163</v>
      </c>
      <c r="B199" s="46">
        <v>46200.0</v>
      </c>
      <c r="C199" s="44" t="s">
        <v>291</v>
      </c>
      <c r="D199" s="42" t="s">
        <v>321</v>
      </c>
      <c r="E199" s="44" t="s">
        <v>24</v>
      </c>
      <c r="F199" s="108"/>
      <c r="G199" s="129">
        <v>600.0</v>
      </c>
      <c r="H199" s="100"/>
      <c r="I199" s="112"/>
      <c r="J199" s="42"/>
      <c r="K199" s="42"/>
      <c r="L199" s="44" t="s">
        <v>285</v>
      </c>
      <c r="M199" s="130" t="s">
        <v>327</v>
      </c>
      <c r="N199" s="42"/>
      <c r="O199" s="42"/>
    </row>
    <row r="200" ht="26.25" hidden="1" customHeight="1">
      <c r="A200" s="102" t="s">
        <v>163</v>
      </c>
      <c r="B200" s="124">
        <v>46200.0</v>
      </c>
      <c r="C200" s="102" t="s">
        <v>291</v>
      </c>
      <c r="D200" s="105" t="s">
        <v>321</v>
      </c>
      <c r="E200" s="102" t="s">
        <v>24</v>
      </c>
      <c r="F200" s="103"/>
      <c r="G200" s="125">
        <v>-550.0</v>
      </c>
      <c r="H200" s="126"/>
      <c r="I200" s="127"/>
      <c r="J200" s="105"/>
      <c r="K200" s="105"/>
      <c r="L200" s="102" t="s">
        <v>32</v>
      </c>
      <c r="M200" s="131" t="s">
        <v>327</v>
      </c>
      <c r="N200" s="105"/>
      <c r="O200" s="105"/>
    </row>
    <row r="201" ht="26.25" hidden="1" customHeight="1">
      <c r="A201" s="102" t="s">
        <v>163</v>
      </c>
      <c r="B201" s="124">
        <v>46200.0</v>
      </c>
      <c r="C201" s="102" t="s">
        <v>291</v>
      </c>
      <c r="D201" s="105" t="s">
        <v>321</v>
      </c>
      <c r="E201" s="102" t="s">
        <v>24</v>
      </c>
      <c r="F201" s="103"/>
      <c r="G201" s="125">
        <v>-1000.0</v>
      </c>
      <c r="H201" s="126"/>
      <c r="I201" s="127"/>
      <c r="J201" s="105"/>
      <c r="K201" s="105"/>
      <c r="L201" s="102" t="s">
        <v>325</v>
      </c>
      <c r="M201" s="131" t="s">
        <v>327</v>
      </c>
      <c r="N201" s="105"/>
      <c r="O201" s="105"/>
    </row>
    <row r="202" ht="26.25" hidden="1" customHeight="1">
      <c r="A202" s="109" t="s">
        <v>328</v>
      </c>
      <c r="B202" s="46">
        <v>46239.0</v>
      </c>
      <c r="C202" s="44" t="s">
        <v>329</v>
      </c>
      <c r="D202" s="44" t="s">
        <v>330</v>
      </c>
      <c r="E202" s="44" t="s">
        <v>44</v>
      </c>
      <c r="F202" s="108"/>
      <c r="G202" s="129">
        <v>15000.0</v>
      </c>
      <c r="H202" s="132"/>
      <c r="I202" s="112"/>
      <c r="J202" s="42"/>
      <c r="K202" s="42"/>
      <c r="L202" s="44" t="s">
        <v>265</v>
      </c>
      <c r="M202" s="133" t="s">
        <v>293</v>
      </c>
      <c r="N202" s="42"/>
      <c r="O202" s="42"/>
    </row>
    <row r="203" ht="26.25" hidden="1" customHeight="1">
      <c r="A203" s="43" t="s">
        <v>268</v>
      </c>
      <c r="B203" s="46">
        <v>46241.0</v>
      </c>
      <c r="C203" s="44" t="s">
        <v>329</v>
      </c>
      <c r="D203" s="44" t="s">
        <v>331</v>
      </c>
      <c r="E203" s="44" t="s">
        <v>44</v>
      </c>
      <c r="F203" s="108"/>
      <c r="G203" s="111"/>
      <c r="H203" s="132" t="s">
        <v>326</v>
      </c>
      <c r="I203" s="112"/>
      <c r="J203" s="42"/>
      <c r="K203" s="42"/>
      <c r="L203" s="44" t="s">
        <v>265</v>
      </c>
      <c r="M203" s="134" t="s">
        <v>293</v>
      </c>
      <c r="N203" s="42"/>
      <c r="O203" s="42"/>
    </row>
    <row r="204" ht="26.25" hidden="1" customHeight="1">
      <c r="A204" s="109" t="s">
        <v>268</v>
      </c>
      <c r="B204" s="46">
        <v>46242.0</v>
      </c>
      <c r="C204" s="44" t="s">
        <v>329</v>
      </c>
      <c r="D204" s="44" t="s">
        <v>331</v>
      </c>
      <c r="E204" s="44" t="s">
        <v>44</v>
      </c>
      <c r="F204" s="108"/>
      <c r="G204" s="111"/>
      <c r="H204" s="132" t="s">
        <v>326</v>
      </c>
      <c r="I204" s="112"/>
      <c r="J204" s="42"/>
      <c r="K204" s="42"/>
      <c r="L204" s="44" t="s">
        <v>265</v>
      </c>
      <c r="M204" s="134" t="s">
        <v>293</v>
      </c>
      <c r="N204" s="42"/>
      <c r="O204" s="42"/>
    </row>
    <row r="205" ht="26.25" hidden="1" customHeight="1">
      <c r="A205" s="109" t="s">
        <v>332</v>
      </c>
      <c r="B205" s="46">
        <v>46263.0</v>
      </c>
      <c r="C205" s="44" t="s">
        <v>329</v>
      </c>
      <c r="D205" s="44" t="s">
        <v>333</v>
      </c>
      <c r="E205" s="44" t="s">
        <v>24</v>
      </c>
      <c r="F205" s="108"/>
      <c r="G205" s="111"/>
      <c r="H205" s="100">
        <v>4000.0</v>
      </c>
      <c r="I205" s="112"/>
      <c r="J205" s="42"/>
      <c r="K205" s="42"/>
      <c r="L205" s="44" t="s">
        <v>265</v>
      </c>
      <c r="M205" s="128" t="s">
        <v>293</v>
      </c>
      <c r="N205" s="42"/>
      <c r="O205" s="42"/>
    </row>
    <row r="206" ht="26.25" hidden="1" customHeight="1">
      <c r="A206" s="109" t="s">
        <v>332</v>
      </c>
      <c r="B206" s="46">
        <v>46263.0</v>
      </c>
      <c r="C206" s="44" t="s">
        <v>329</v>
      </c>
      <c r="D206" s="44" t="s">
        <v>333</v>
      </c>
      <c r="E206" s="44" t="s">
        <v>24</v>
      </c>
      <c r="F206" s="108"/>
      <c r="G206" s="129">
        <v>1600.0</v>
      </c>
      <c r="H206" s="100"/>
      <c r="I206" s="112"/>
      <c r="J206" s="42"/>
      <c r="K206" s="42"/>
      <c r="L206" s="44" t="s">
        <v>324</v>
      </c>
      <c r="M206" s="128" t="s">
        <v>293</v>
      </c>
      <c r="N206" s="42"/>
      <c r="O206" s="42"/>
    </row>
    <row r="207" ht="26.25" hidden="1" customHeight="1">
      <c r="A207" s="109" t="s">
        <v>332</v>
      </c>
      <c r="B207" s="46">
        <v>46263.0</v>
      </c>
      <c r="C207" s="44" t="s">
        <v>329</v>
      </c>
      <c r="D207" s="44" t="s">
        <v>333</v>
      </c>
      <c r="E207" s="44" t="s">
        <v>24</v>
      </c>
      <c r="F207" s="108"/>
      <c r="G207" s="129" t="s">
        <v>326</v>
      </c>
      <c r="H207" s="100"/>
      <c r="I207" s="112"/>
      <c r="J207" s="42"/>
      <c r="K207" s="42"/>
      <c r="L207" s="44" t="s">
        <v>285</v>
      </c>
      <c r="M207" s="128" t="s">
        <v>293</v>
      </c>
      <c r="N207" s="42"/>
      <c r="O207" s="42"/>
    </row>
    <row r="208" ht="26.25" hidden="1" customHeight="1">
      <c r="A208" s="104" t="s">
        <v>332</v>
      </c>
      <c r="B208" s="124">
        <v>46263.0</v>
      </c>
      <c r="C208" s="102" t="s">
        <v>329</v>
      </c>
      <c r="D208" s="102" t="s">
        <v>333</v>
      </c>
      <c r="E208" s="102" t="s">
        <v>24</v>
      </c>
      <c r="F208" s="103"/>
      <c r="G208" s="125">
        <v>-500.0</v>
      </c>
      <c r="H208" s="126"/>
      <c r="I208" s="127"/>
      <c r="J208" s="105"/>
      <c r="K208" s="105"/>
      <c r="L208" s="102" t="s">
        <v>32</v>
      </c>
      <c r="M208" s="128" t="s">
        <v>293</v>
      </c>
      <c r="N208" s="105"/>
      <c r="O208" s="105"/>
    </row>
    <row r="209" ht="26.25" hidden="1" customHeight="1">
      <c r="A209" s="104" t="s">
        <v>332</v>
      </c>
      <c r="B209" s="124">
        <v>46263.0</v>
      </c>
      <c r="C209" s="102" t="s">
        <v>329</v>
      </c>
      <c r="D209" s="102" t="s">
        <v>333</v>
      </c>
      <c r="E209" s="102" t="s">
        <v>24</v>
      </c>
      <c r="F209" s="103"/>
      <c r="G209" s="125">
        <v>-1000.0</v>
      </c>
      <c r="H209" s="126"/>
      <c r="I209" s="127"/>
      <c r="J209" s="105"/>
      <c r="K209" s="105"/>
      <c r="L209" s="102" t="s">
        <v>325</v>
      </c>
      <c r="M209" s="128" t="s">
        <v>293</v>
      </c>
      <c r="N209" s="105"/>
      <c r="O209" s="105"/>
    </row>
    <row r="210" ht="26.25" hidden="1" customHeight="1">
      <c r="A210" s="109" t="s">
        <v>163</v>
      </c>
      <c r="B210" s="46">
        <v>46270.0</v>
      </c>
      <c r="C210" s="44" t="s">
        <v>334</v>
      </c>
      <c r="D210" s="44" t="s">
        <v>335</v>
      </c>
      <c r="E210" s="44" t="s">
        <v>24</v>
      </c>
      <c r="F210" s="108"/>
      <c r="G210" s="111"/>
      <c r="H210" s="100">
        <v>450.0</v>
      </c>
      <c r="I210" s="112"/>
      <c r="J210" s="42"/>
      <c r="K210" s="42"/>
      <c r="L210" s="44" t="s">
        <v>265</v>
      </c>
      <c r="M210" s="128" t="s">
        <v>293</v>
      </c>
      <c r="N210" s="42"/>
      <c r="O210" s="42"/>
    </row>
    <row r="211" ht="26.25" hidden="1" customHeight="1">
      <c r="A211" s="109" t="s">
        <v>163</v>
      </c>
      <c r="B211" s="46">
        <v>46270.0</v>
      </c>
      <c r="C211" s="44" t="s">
        <v>334</v>
      </c>
      <c r="D211" s="44" t="s">
        <v>335</v>
      </c>
      <c r="E211" s="44" t="s">
        <v>24</v>
      </c>
      <c r="F211" s="108"/>
      <c r="G211" s="129">
        <v>1600.0</v>
      </c>
      <c r="H211" s="100"/>
      <c r="I211" s="112"/>
      <c r="J211" s="42"/>
      <c r="K211" s="42"/>
      <c r="L211" s="44" t="s">
        <v>324</v>
      </c>
      <c r="M211" s="128" t="s">
        <v>293</v>
      </c>
      <c r="N211" s="42"/>
      <c r="O211" s="42"/>
    </row>
    <row r="212" ht="26.25" hidden="1" customHeight="1">
      <c r="A212" s="109" t="s">
        <v>163</v>
      </c>
      <c r="B212" s="43">
        <v>46270.0</v>
      </c>
      <c r="C212" s="109" t="s">
        <v>334</v>
      </c>
      <c r="D212" s="109" t="s">
        <v>335</v>
      </c>
      <c r="E212" s="109" t="s">
        <v>24</v>
      </c>
      <c r="F212" s="108"/>
      <c r="G212" s="129">
        <v>600.0</v>
      </c>
      <c r="H212" s="100"/>
      <c r="I212" s="112"/>
      <c r="J212" s="42"/>
      <c r="K212" s="42"/>
      <c r="L212" s="44" t="s">
        <v>285</v>
      </c>
      <c r="M212" s="128" t="s">
        <v>293</v>
      </c>
      <c r="N212" s="42"/>
      <c r="O212" s="42"/>
    </row>
    <row r="213" ht="26.25" hidden="1" customHeight="1">
      <c r="A213" s="104" t="s">
        <v>163</v>
      </c>
      <c r="B213" s="124">
        <v>46270.0</v>
      </c>
      <c r="C213" s="102" t="s">
        <v>334</v>
      </c>
      <c r="D213" s="102" t="s">
        <v>335</v>
      </c>
      <c r="E213" s="102" t="s">
        <v>24</v>
      </c>
      <c r="F213" s="103"/>
      <c r="G213" s="125">
        <v>-550.0</v>
      </c>
      <c r="H213" s="126"/>
      <c r="I213" s="127"/>
      <c r="J213" s="105"/>
      <c r="K213" s="105"/>
      <c r="L213" s="102" t="s">
        <v>32</v>
      </c>
      <c r="M213" s="128" t="s">
        <v>293</v>
      </c>
      <c r="N213" s="105"/>
      <c r="O213" s="105"/>
    </row>
    <row r="214" ht="26.25" hidden="1" customHeight="1">
      <c r="A214" s="104" t="s">
        <v>163</v>
      </c>
      <c r="B214" s="124">
        <v>46270.0</v>
      </c>
      <c r="C214" s="102" t="s">
        <v>334</v>
      </c>
      <c r="D214" s="102" t="s">
        <v>335</v>
      </c>
      <c r="E214" s="102" t="s">
        <v>24</v>
      </c>
      <c r="F214" s="103"/>
      <c r="G214" s="125">
        <v>-1000.0</v>
      </c>
      <c r="H214" s="126"/>
      <c r="I214" s="127"/>
      <c r="J214" s="105"/>
      <c r="K214" s="105"/>
      <c r="L214" s="102" t="s">
        <v>325</v>
      </c>
      <c r="M214" s="128" t="s">
        <v>293</v>
      </c>
      <c r="N214" s="105"/>
      <c r="O214" s="105"/>
    </row>
    <row r="215" ht="26.25" hidden="1" customHeight="1">
      <c r="A215" s="18" t="s">
        <v>163</v>
      </c>
      <c r="B215" s="122">
        <v>46271.0</v>
      </c>
      <c r="C215" s="18" t="s">
        <v>334</v>
      </c>
      <c r="D215" s="18" t="s">
        <v>336</v>
      </c>
      <c r="E215" s="18" t="s">
        <v>19</v>
      </c>
      <c r="F215" s="23">
        <v>46156.0</v>
      </c>
      <c r="G215" s="37">
        <v>1300.0</v>
      </c>
      <c r="H215" s="38"/>
      <c r="I215" s="135"/>
      <c r="J215" s="18" t="s">
        <v>337</v>
      </c>
      <c r="K215" s="22"/>
      <c r="L215" s="18" t="s">
        <v>49</v>
      </c>
      <c r="M215" s="18" t="s">
        <v>338</v>
      </c>
      <c r="N215" s="22"/>
      <c r="O215" s="22"/>
    </row>
    <row r="216" ht="26.25" hidden="1" customHeight="1">
      <c r="A216" s="109" t="s">
        <v>288</v>
      </c>
      <c r="B216" s="46">
        <v>46277.0</v>
      </c>
      <c r="C216" s="44" t="s">
        <v>334</v>
      </c>
      <c r="D216" s="44" t="s">
        <v>339</v>
      </c>
      <c r="E216" s="44" t="s">
        <v>24</v>
      </c>
      <c r="F216" s="108"/>
      <c r="G216" s="111"/>
      <c r="H216" s="100" t="s">
        <v>292</v>
      </c>
      <c r="I216" s="112"/>
      <c r="J216" s="42"/>
      <c r="K216" s="42"/>
      <c r="L216" s="44" t="s">
        <v>265</v>
      </c>
      <c r="M216" s="128" t="s">
        <v>293</v>
      </c>
      <c r="N216" s="42"/>
      <c r="O216" s="42"/>
    </row>
    <row r="217" ht="26.25" hidden="1" customHeight="1">
      <c r="A217" s="109" t="s">
        <v>288</v>
      </c>
      <c r="B217" s="46">
        <v>46277.0</v>
      </c>
      <c r="C217" s="44" t="s">
        <v>334</v>
      </c>
      <c r="D217" s="44" t="s">
        <v>339</v>
      </c>
      <c r="E217" s="44" t="s">
        <v>24</v>
      </c>
      <c r="F217" s="108"/>
      <c r="G217" s="129">
        <v>1600.0</v>
      </c>
      <c r="H217" s="100"/>
      <c r="I217" s="112"/>
      <c r="J217" s="42"/>
      <c r="K217" s="42"/>
      <c r="L217" s="44" t="s">
        <v>324</v>
      </c>
      <c r="M217" s="128" t="s">
        <v>293</v>
      </c>
      <c r="N217" s="42"/>
      <c r="O217" s="42"/>
    </row>
    <row r="218" ht="26.25" hidden="1" customHeight="1">
      <c r="A218" s="109" t="s">
        <v>288</v>
      </c>
      <c r="B218" s="46">
        <v>46277.0</v>
      </c>
      <c r="C218" s="44" t="s">
        <v>334</v>
      </c>
      <c r="D218" s="44" t="s">
        <v>339</v>
      </c>
      <c r="E218" s="44" t="s">
        <v>24</v>
      </c>
      <c r="F218" s="108"/>
      <c r="G218" s="129" t="s">
        <v>326</v>
      </c>
      <c r="H218" s="100"/>
      <c r="I218" s="112"/>
      <c r="J218" s="42"/>
      <c r="K218" s="42"/>
      <c r="L218" s="44" t="s">
        <v>285</v>
      </c>
      <c r="M218" s="128" t="s">
        <v>293</v>
      </c>
      <c r="N218" s="42"/>
      <c r="O218" s="42"/>
    </row>
    <row r="219" ht="26.25" hidden="1" customHeight="1">
      <c r="A219" s="104" t="s">
        <v>288</v>
      </c>
      <c r="B219" s="124">
        <v>46277.0</v>
      </c>
      <c r="C219" s="102" t="s">
        <v>334</v>
      </c>
      <c r="D219" s="102" t="s">
        <v>339</v>
      </c>
      <c r="E219" s="102" t="s">
        <v>24</v>
      </c>
      <c r="F219" s="103"/>
      <c r="G219" s="125">
        <v>-550.0</v>
      </c>
      <c r="H219" s="126"/>
      <c r="I219" s="127"/>
      <c r="J219" s="105"/>
      <c r="K219" s="105"/>
      <c r="L219" s="102" t="s">
        <v>32</v>
      </c>
      <c r="M219" s="128" t="s">
        <v>293</v>
      </c>
      <c r="N219" s="105"/>
      <c r="O219" s="105"/>
    </row>
    <row r="220" ht="26.25" hidden="1" customHeight="1">
      <c r="A220" s="104" t="s">
        <v>288</v>
      </c>
      <c r="B220" s="124">
        <v>46277.0</v>
      </c>
      <c r="C220" s="102" t="s">
        <v>334</v>
      </c>
      <c r="D220" s="102" t="s">
        <v>339</v>
      </c>
      <c r="E220" s="102" t="s">
        <v>24</v>
      </c>
      <c r="F220" s="103"/>
      <c r="G220" s="125">
        <v>-1000.0</v>
      </c>
      <c r="H220" s="126"/>
      <c r="I220" s="127"/>
      <c r="J220" s="105"/>
      <c r="K220" s="105"/>
      <c r="L220" s="102" t="s">
        <v>325</v>
      </c>
      <c r="M220" s="128" t="s">
        <v>293</v>
      </c>
      <c r="N220" s="105"/>
      <c r="O220" s="105"/>
    </row>
    <row r="221" ht="26.25" hidden="1" customHeight="1">
      <c r="A221" s="109" t="s">
        <v>172</v>
      </c>
      <c r="B221" s="46">
        <v>46284.0</v>
      </c>
      <c r="C221" s="44" t="s">
        <v>334</v>
      </c>
      <c r="D221" s="44" t="s">
        <v>340</v>
      </c>
      <c r="E221" s="44" t="s">
        <v>24</v>
      </c>
      <c r="F221" s="108"/>
      <c r="G221" s="111"/>
      <c r="H221" s="100" t="s">
        <v>326</v>
      </c>
      <c r="I221" s="112"/>
      <c r="J221" s="42"/>
      <c r="K221" s="42"/>
      <c r="L221" s="44" t="s">
        <v>265</v>
      </c>
      <c r="M221" s="128" t="s">
        <v>293</v>
      </c>
      <c r="N221" s="42"/>
      <c r="O221" s="42"/>
    </row>
    <row r="222" ht="26.25" hidden="1" customHeight="1">
      <c r="A222" s="109" t="s">
        <v>172</v>
      </c>
      <c r="B222" s="46">
        <v>46284.0</v>
      </c>
      <c r="C222" s="44" t="s">
        <v>334</v>
      </c>
      <c r="D222" s="44" t="s">
        <v>340</v>
      </c>
      <c r="E222" s="44" t="s">
        <v>24</v>
      </c>
      <c r="F222" s="108"/>
      <c r="G222" s="129">
        <v>1600.0</v>
      </c>
      <c r="H222" s="100"/>
      <c r="I222" s="112"/>
      <c r="J222" s="42"/>
      <c r="K222" s="42"/>
      <c r="L222" s="44" t="s">
        <v>324</v>
      </c>
      <c r="M222" s="128" t="s">
        <v>293</v>
      </c>
      <c r="N222" s="42"/>
      <c r="O222" s="42"/>
    </row>
    <row r="223" ht="26.25" hidden="1" customHeight="1">
      <c r="A223" s="109" t="s">
        <v>172</v>
      </c>
      <c r="B223" s="46">
        <v>46284.0</v>
      </c>
      <c r="C223" s="44" t="s">
        <v>334</v>
      </c>
      <c r="D223" s="44" t="s">
        <v>340</v>
      </c>
      <c r="E223" s="44" t="s">
        <v>24</v>
      </c>
      <c r="F223" s="108"/>
      <c r="G223" s="129" t="s">
        <v>326</v>
      </c>
      <c r="H223" s="100"/>
      <c r="I223" s="112"/>
      <c r="J223" s="42"/>
      <c r="K223" s="42"/>
      <c r="L223" s="44" t="s">
        <v>285</v>
      </c>
      <c r="M223" s="128" t="s">
        <v>293</v>
      </c>
      <c r="N223" s="42"/>
      <c r="O223" s="42"/>
    </row>
    <row r="224" ht="26.25" hidden="1" customHeight="1">
      <c r="A224" s="104" t="s">
        <v>172</v>
      </c>
      <c r="B224" s="124">
        <v>46284.0</v>
      </c>
      <c r="C224" s="102" t="s">
        <v>334</v>
      </c>
      <c r="D224" s="102" t="s">
        <v>340</v>
      </c>
      <c r="E224" s="102" t="s">
        <v>24</v>
      </c>
      <c r="F224" s="103"/>
      <c r="G224" s="125">
        <v>-500.0</v>
      </c>
      <c r="H224" s="126"/>
      <c r="I224" s="127"/>
      <c r="J224" s="105"/>
      <c r="K224" s="105"/>
      <c r="L224" s="102" t="s">
        <v>32</v>
      </c>
      <c r="M224" s="128" t="s">
        <v>293</v>
      </c>
      <c r="N224" s="105"/>
      <c r="O224" s="105"/>
    </row>
    <row r="225" ht="26.25" hidden="1" customHeight="1">
      <c r="A225" s="104" t="s">
        <v>172</v>
      </c>
      <c r="B225" s="124">
        <v>46284.0</v>
      </c>
      <c r="C225" s="102" t="s">
        <v>334</v>
      </c>
      <c r="D225" s="102" t="s">
        <v>340</v>
      </c>
      <c r="E225" s="102" t="s">
        <v>24</v>
      </c>
      <c r="F225" s="103"/>
      <c r="G225" s="125">
        <v>-1000.0</v>
      </c>
      <c r="H225" s="126"/>
      <c r="I225" s="127"/>
      <c r="J225" s="105"/>
      <c r="K225" s="105"/>
      <c r="L225" s="102" t="s">
        <v>325</v>
      </c>
      <c r="M225" s="128" t="s">
        <v>293</v>
      </c>
      <c r="N225" s="105"/>
      <c r="O225" s="105"/>
    </row>
    <row r="226" ht="26.25" hidden="1" customHeight="1">
      <c r="A226" s="136" t="s">
        <v>341</v>
      </c>
      <c r="B226" s="136">
        <v>46312.0</v>
      </c>
      <c r="C226" s="44" t="s">
        <v>342</v>
      </c>
      <c r="D226" s="44" t="s">
        <v>343</v>
      </c>
      <c r="E226" s="44" t="s">
        <v>44</v>
      </c>
      <c r="F226" s="108"/>
      <c r="G226" s="111"/>
      <c r="H226" s="132" t="s">
        <v>326</v>
      </c>
      <c r="I226" s="112"/>
      <c r="J226" s="42"/>
      <c r="K226" s="42"/>
      <c r="L226" s="44" t="s">
        <v>265</v>
      </c>
      <c r="M226" s="137" t="s">
        <v>344</v>
      </c>
      <c r="N226" s="42"/>
      <c r="O226" s="42"/>
    </row>
    <row r="227" ht="26.25" hidden="1" customHeight="1">
      <c r="A227" s="136" t="s">
        <v>345</v>
      </c>
      <c r="B227" s="136">
        <v>46340.0</v>
      </c>
      <c r="C227" s="44" t="s">
        <v>346</v>
      </c>
      <c r="D227" s="44" t="s">
        <v>330</v>
      </c>
      <c r="E227" s="44" t="s">
        <v>44</v>
      </c>
      <c r="F227" s="108"/>
      <c r="G227" s="129">
        <v>6750.0</v>
      </c>
      <c r="H227" s="132"/>
      <c r="I227" s="112"/>
      <c r="J227" s="42"/>
      <c r="K227" s="42"/>
      <c r="L227" s="44" t="s">
        <v>265</v>
      </c>
      <c r="M227" s="133" t="s">
        <v>293</v>
      </c>
      <c r="N227" s="42"/>
      <c r="O227" s="42"/>
    </row>
    <row r="228" ht="26.25" hidden="1" customHeight="1">
      <c r="A228" s="43" t="s">
        <v>172</v>
      </c>
      <c r="B228" s="136">
        <v>46346.0</v>
      </c>
      <c r="C228" s="44" t="s">
        <v>346</v>
      </c>
      <c r="D228" s="44" t="s">
        <v>335</v>
      </c>
      <c r="E228" s="44" t="s">
        <v>24</v>
      </c>
      <c r="F228" s="108"/>
      <c r="G228" s="111"/>
      <c r="H228" s="100">
        <v>7500.0</v>
      </c>
      <c r="I228" s="112"/>
      <c r="J228" s="42"/>
      <c r="K228" s="42"/>
      <c r="L228" s="44" t="s">
        <v>265</v>
      </c>
      <c r="M228" s="130" t="s">
        <v>347</v>
      </c>
      <c r="N228" s="42"/>
      <c r="O228" s="42"/>
    </row>
    <row r="229" ht="26.25" hidden="1" customHeight="1">
      <c r="A229" s="43" t="s">
        <v>172</v>
      </c>
      <c r="B229" s="136">
        <v>46346.0</v>
      </c>
      <c r="C229" s="44" t="s">
        <v>346</v>
      </c>
      <c r="D229" s="44" t="s">
        <v>335</v>
      </c>
      <c r="E229" s="44" t="s">
        <v>24</v>
      </c>
      <c r="F229" s="108"/>
      <c r="G229" s="129">
        <v>1600.0</v>
      </c>
      <c r="H229" s="100"/>
      <c r="I229" s="112"/>
      <c r="J229" s="42"/>
      <c r="K229" s="42"/>
      <c r="L229" s="44" t="s">
        <v>324</v>
      </c>
      <c r="M229" s="130" t="s">
        <v>347</v>
      </c>
      <c r="N229" s="42"/>
      <c r="O229" s="42"/>
    </row>
    <row r="230" ht="26.25" hidden="1" customHeight="1">
      <c r="A230" s="43" t="s">
        <v>172</v>
      </c>
      <c r="B230" s="136">
        <v>46346.0</v>
      </c>
      <c r="C230" s="44" t="s">
        <v>346</v>
      </c>
      <c r="D230" s="44" t="s">
        <v>335</v>
      </c>
      <c r="E230" s="44" t="s">
        <v>24</v>
      </c>
      <c r="F230" s="108"/>
      <c r="G230" s="129" t="s">
        <v>326</v>
      </c>
      <c r="H230" s="100"/>
      <c r="I230" s="112"/>
      <c r="J230" s="42"/>
      <c r="K230" s="42"/>
      <c r="L230" s="44" t="s">
        <v>285</v>
      </c>
      <c r="M230" s="130" t="s">
        <v>347</v>
      </c>
      <c r="N230" s="42"/>
      <c r="O230" s="42"/>
    </row>
    <row r="231" ht="26.25" hidden="1" customHeight="1">
      <c r="A231" s="106" t="s">
        <v>172</v>
      </c>
      <c r="B231" s="138">
        <v>46346.0</v>
      </c>
      <c r="C231" s="102" t="s">
        <v>346</v>
      </c>
      <c r="D231" s="102" t="s">
        <v>335</v>
      </c>
      <c r="E231" s="102" t="s">
        <v>24</v>
      </c>
      <c r="F231" s="103"/>
      <c r="G231" s="125">
        <v>-550.0</v>
      </c>
      <c r="H231" s="126"/>
      <c r="I231" s="127"/>
      <c r="J231" s="105"/>
      <c r="K231" s="105"/>
      <c r="L231" s="102" t="s">
        <v>32</v>
      </c>
      <c r="M231" s="130" t="s">
        <v>347</v>
      </c>
      <c r="N231" s="105"/>
      <c r="O231" s="105"/>
    </row>
    <row r="232" ht="26.25" hidden="1" customHeight="1">
      <c r="A232" s="106" t="s">
        <v>172</v>
      </c>
      <c r="B232" s="138">
        <v>46346.0</v>
      </c>
      <c r="C232" s="102" t="s">
        <v>346</v>
      </c>
      <c r="D232" s="102" t="s">
        <v>335</v>
      </c>
      <c r="E232" s="102" t="s">
        <v>24</v>
      </c>
      <c r="F232" s="103"/>
      <c r="G232" s="125">
        <v>-1000.0</v>
      </c>
      <c r="H232" s="126"/>
      <c r="I232" s="127"/>
      <c r="J232" s="105"/>
      <c r="K232" s="105"/>
      <c r="L232" s="102" t="s">
        <v>325</v>
      </c>
      <c r="M232" s="130" t="s">
        <v>347</v>
      </c>
      <c r="N232" s="105"/>
      <c r="O232" s="105"/>
    </row>
    <row r="233" ht="26.25" hidden="1" customHeight="1">
      <c r="A233" s="43" t="s">
        <v>172</v>
      </c>
      <c r="B233" s="136">
        <v>46347.0</v>
      </c>
      <c r="C233" s="44" t="s">
        <v>346</v>
      </c>
      <c r="D233" s="44" t="s">
        <v>348</v>
      </c>
      <c r="E233" s="44" t="s">
        <v>44</v>
      </c>
      <c r="F233" s="108"/>
      <c r="G233" s="111"/>
      <c r="H233" s="100">
        <v>7500.0</v>
      </c>
      <c r="I233" s="112"/>
      <c r="J233" s="42"/>
      <c r="K233" s="42"/>
      <c r="L233" s="44" t="s">
        <v>265</v>
      </c>
      <c r="M233" s="139" t="s">
        <v>349</v>
      </c>
      <c r="N233" s="42"/>
      <c r="O233" s="42"/>
    </row>
    <row r="234" ht="26.25" hidden="1" customHeight="1">
      <c r="A234" s="98" t="s">
        <v>350</v>
      </c>
      <c r="B234" s="98">
        <v>46535.0</v>
      </c>
      <c r="C234" s="44">
        <v>2027.0</v>
      </c>
      <c r="D234" s="44" t="s">
        <v>351</v>
      </c>
      <c r="E234" s="44" t="s">
        <v>44</v>
      </c>
      <c r="F234" s="108"/>
      <c r="G234" s="111"/>
      <c r="H234" s="132"/>
      <c r="I234" s="112">
        <v>900.0</v>
      </c>
      <c r="J234" s="42"/>
      <c r="K234" s="42"/>
      <c r="L234" s="44" t="s">
        <v>265</v>
      </c>
      <c r="M234" s="128" t="s">
        <v>293</v>
      </c>
      <c r="N234" s="42"/>
      <c r="O234" s="42"/>
    </row>
  </sheetData>
  <autoFilter ref="$A$2:$O$234">
    <filterColumn colId="2">
      <filters>
        <filter val="MAIO"/>
      </filters>
    </filterColumn>
    <sortState ref="A2:O234">
      <sortCondition ref="B2:B234"/>
      <sortCondition ref="C2:C234"/>
    </sortState>
  </autoFilter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2026-04-28T20:10:35Z</dcterms:created>
  <dc:creator>Angélica Domingos De Araujo</dc:creator>
</cp:coreProperties>
</file>